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Team</t>
        </is>
      </c>
      <c r="C1" t="inlineStr">
        <is>
          <t>Stops</t>
        </is>
      </c>
      <c r="D1" t="inlineStr">
        <is>
          <t>Route_Link</t>
        </is>
      </c>
    </row>
    <row r="2">
      <c r="A2" t="n">
        <v>1</v>
      </c>
      <c r="B2" t="inlineStr">
        <is>
          <t>Team 1</t>
        </is>
      </c>
      <c r="C2" t="n">
        <v>5</v>
      </c>
      <c r="D2">
        <f>HYPERLINK("https://www.google.com/maps/dir/12.4244,75.7382/11.960908,76.002948/11.958048,76.009186/11.950812,76.007415/11.955687,76.005202/11.959527,76.013967/12.4244,75.7382", "Open Route")</f>
        <v/>
      </c>
    </row>
    <row r="3">
      <c r="A3" t="n">
        <v>1</v>
      </c>
      <c r="B3" t="inlineStr">
        <is>
          <t>Team 2</t>
        </is>
      </c>
      <c r="C3" t="n">
        <v>4</v>
      </c>
      <c r="D3">
        <f>HYPERLINK("https://www.google.com/maps/dir/12.4244,75.7382/12.335451,75.961233/12.334708,75.961043/12.336479,75.961203/12.336203,75.961265/12.4244,75.7382", "Open Route")</f>
        <v/>
      </c>
    </row>
    <row r="4">
      <c r="A4" t="n">
        <v>2</v>
      </c>
      <c r="B4" t="inlineStr">
        <is>
          <t>Team 1</t>
        </is>
      </c>
      <c r="C4" t="n">
        <v>8</v>
      </c>
      <c r="D4">
        <f>HYPERLINK("https://www.google.com/maps/dir/12.4244,75.7382/11.969173,76.053291/11.971684,76.047959/11.9687613,76.0432132/11.961308,76.038213/11.958804,76.033463/11.967177,76.034037/11.969738,76.033866/11.977064,76.033472/12.4244,75.7382", "Open Route")</f>
        <v/>
      </c>
    </row>
    <row r="5">
      <c r="A5" t="n">
        <v>2</v>
      </c>
      <c r="B5" t="inlineStr">
        <is>
          <t>Team 2</t>
        </is>
      </c>
      <c r="C5" t="n">
        <v>15</v>
      </c>
      <c r="D5">
        <f>HYPERLINK("https://www.google.com/maps/dir/12.4244,75.7382/12.330698,75.916623/12.330697,75.916621/12.336427,75.919166/12.334414,75.925743/12.323929,75.925289/12.33067,75.92902/12.333927,75.922795/12.331715,75.915799/12.331157,75.91602/12.331632,75.916187/12.339342,75.91513/12.337211,75.918417/12.339601,75.914785/12.339457,75.909941/12.33917,75.915058/12.4244,75.7382", "Open Route")</f>
        <v/>
      </c>
    </row>
    <row r="6">
      <c r="A6" t="n">
        <v>3</v>
      </c>
      <c r="B6" t="inlineStr">
        <is>
          <t>Team 1</t>
        </is>
      </c>
      <c r="C6" t="n">
        <v>7</v>
      </c>
      <c r="D6">
        <f>HYPERLINK("https://www.google.com/maps/dir/12.4244,75.7382/11.9808575,76.0102516/11.975861,76.006306/11.974782,76.006416/11.973236,76.011441/11.972071,76.00768/11.971958,76.007724/11.987162,76.003104/12.4244,75.7382", "Open Route")</f>
        <v/>
      </c>
    </row>
    <row r="7">
      <c r="A7" t="n">
        <v>3</v>
      </c>
      <c r="B7" t="inlineStr">
        <is>
          <t>Team 2</t>
        </is>
      </c>
      <c r="C7" t="n">
        <v>11</v>
      </c>
      <c r="D7">
        <f>HYPERLINK("https://www.google.com/maps/dir/12.4244,75.7382/12.332903,75.885659/12.32947,75.887011/12.332881,75.885791/12.32595,75.88926/12.320511,75.903141/12.31995,75.89535/12.32896,75.90041/12.322011,75.904471/12.320031,75.900351/12.324233,75.895385/12.340114,75.898981/12.4244,75.7382", "Open Route")</f>
        <v/>
      </c>
    </row>
    <row r="8">
      <c r="A8" t="n">
        <v>4</v>
      </c>
      <c r="B8" t="inlineStr">
        <is>
          <t>Team 1</t>
        </is>
      </c>
      <c r="C8" t="n">
        <v>11</v>
      </c>
      <c r="D8">
        <f>HYPERLINK("https://www.google.com/maps/dir/12.4244,75.7382/11.978015,75.987883/11.975701,75.987757/11.972951,75.989037/11.9753843,75.986772/11.986151,75.994032/11.974837,75.987718/11.978344,75.987387/11.974168,75.987876/11.977419,75.988103/11.985231,75.997054/11.984904,75.988873/12.4244,75.7382", "Open Route")</f>
        <v/>
      </c>
    </row>
    <row r="9">
      <c r="A9" t="n">
        <v>4</v>
      </c>
      <c r="B9" t="inlineStr">
        <is>
          <t>Team 2</t>
        </is>
      </c>
      <c r="C9" t="n">
        <v>7</v>
      </c>
      <c r="D9">
        <f>HYPERLINK("https://www.google.com/maps/dir/12.4244,75.7382/12.32398,75.95631/12.325177,75.95927/12.327614,75.951834/12.32406,75.95726/12.32344,75.96018/12.318005,75.959177/12.317511,75.954711/12.4244,75.7382", "Open Route")</f>
        <v/>
      </c>
    </row>
    <row r="10">
      <c r="A10" t="n">
        <v>5</v>
      </c>
      <c r="B10" t="inlineStr">
        <is>
          <t>Team 1</t>
        </is>
      </c>
      <c r="C10" t="n">
        <v>11</v>
      </c>
      <c r="D10">
        <f>HYPERLINK("https://www.google.com/maps/dir/12.4244,75.7382/11.993075,76.058807/11.975031,76.061194/11.975041,76.061032/11.976581,76.053323/11.98835432,76.0617765/11.971675,76.086687/11.9883454,76.0617234/11.98854314,76.0624232/11.98709123,76.06199932/11.9883243,76.0617878/11.9882151,76.06208832/12.4244,75.7382", "Open Route")</f>
        <v/>
      </c>
    </row>
    <row r="11">
      <c r="A11" t="n">
        <v>5</v>
      </c>
      <c r="B11" t="inlineStr">
        <is>
          <t>Team 2</t>
        </is>
      </c>
      <c r="C11" t="n">
        <v>32</v>
      </c>
      <c r="D11">
        <f>HYPERLINK("https://www.google.com/maps/dir/12.4244,75.7382/12.316749,75.934847/12.318214,75.939458/12.313917,75.936485/12.316567,75.943087/12.3164339,75.9345298/12.312621,75.934634/12.317087,75.937365/12.314993,75.941232/12.31281,75.93561/12.311334,75.933879/12.313795,75.939842/12.31218,75.93658/12.309583,75.943927/12.308931,75.938588/12.306098,75.942515/12.311994,75.936719/12.313224,75.944057/12.305014,75.935616/12.304311,75.939602/12.31187,75.943186/12.309468,75.934893/12.307307,75.938269/12.305982,75.935984/12.313041,75.944777/12.311856,75.946006/12.307187,75.941676/12.31226,75.942596/12.300489,75.936489/12.309799,75.934791/12.31296,75.94782/12.31652,75.93436/12.313849,75.939871/12.4244,75.7382", "Open Route")</f>
        <v/>
      </c>
    </row>
    <row r="12">
      <c r="A12" t="n">
        <v>6</v>
      </c>
      <c r="B12" t="inlineStr">
        <is>
          <t>Team 1</t>
        </is>
      </c>
      <c r="C12" t="n">
        <v>16</v>
      </c>
      <c r="D12">
        <f>HYPERLINK("https://www.google.com/maps/dir/12.4244,75.7382/11.996844,76.022523/12.000378,76.031271/11.991941,76.036981/12.011878,76.030577/11.998485,76.016371/11.9844475,76.0201278/11.98478431,76.0208225/11.98587,76.021827/11.989827,76.019801/11.98982611,76.0198066/11.9892079,76.0198696/11.989826,76.01980057/11.988,76.0183/11.98854,76.016772/11.986125,76.015498/11.990617,76.007968/12.4244,75.7382", "Open Route")</f>
        <v/>
      </c>
    </row>
    <row r="13">
      <c r="A13" t="n">
        <v>6</v>
      </c>
      <c r="B13" t="inlineStr">
        <is>
          <t>Team 2</t>
        </is>
      </c>
      <c r="C13" t="n">
        <v>12</v>
      </c>
      <c r="D13">
        <f>HYPERLINK("https://www.google.com/maps/dir/12.4244,75.7382/12.315038,75.889239/12.315608,75.892063/12.311018,75.892913/12.315687,75.892604/12.312939,75.895116/12.315559,75.890099/12.312333,75.892878/12.308777,75.900744/12.309157,75.896778/12.3059,75.89565/12.30225,75.89424/12.30775,75.89279/12.4244,75.7382", "Open Route")</f>
        <v/>
      </c>
    </row>
    <row r="14">
      <c r="A14" t="n">
        <v>7</v>
      </c>
      <c r="B14" t="inlineStr">
        <is>
          <t>Team 1</t>
        </is>
      </c>
      <c r="C14" t="n">
        <v>6</v>
      </c>
      <c r="D14">
        <f>HYPERLINK("https://www.google.com/maps/dir/12.4244,75.7382/12.003078,75.986042/11.99594,75.983005/11.992383,75.984159/11.993591,75.984587/11.99592,75.982719/11.995939,75.983004/12.4244,75.7382", "Open Route")</f>
        <v/>
      </c>
    </row>
    <row r="15">
      <c r="A15" t="n">
        <v>7</v>
      </c>
      <c r="B15" t="inlineStr">
        <is>
          <t>Team 2</t>
        </is>
      </c>
      <c r="C15" t="n">
        <v>22</v>
      </c>
      <c r="D15">
        <f>HYPERLINK("https://www.google.com/maps/dir/12.4244,75.7382/12.310148,75.885256/12.306722,75.878369/12.312753,75.886314/12.312598,75.881952/12.31109,75.88524/12.30739,75.87986/12.312448,75.884785/12.31231,75.885143/12.311787,75.885117/12.31395,75.88712/12.313153,75.886936/12.31408,75.88654/12.311544,75.88519/12.311574,75.881901/12.308326,75.877893/12.3073,75.88031/12.308281,75.877781/12.311521,75.88182/12.31654,75.886806/12.30616,75.87972/12.30733,75.87968/12.31061,75.885243/12.4244,75.7382", "Open Route")</f>
        <v/>
      </c>
    </row>
    <row r="16">
      <c r="A16" t="n">
        <v>8</v>
      </c>
      <c r="B16" t="inlineStr">
        <is>
          <t>Team 1</t>
        </is>
      </c>
      <c r="C16" t="n">
        <v>8</v>
      </c>
      <c r="D16">
        <f>HYPERLINK("https://www.google.com/maps/dir/12.4244,75.7382/12.003427,75.897491/12.000984,75.895853/12.001312,75.895952/11.997424,75.901055/12.00023,75.892858/11.990168,75.894915/12.004175,75.893759/12.009544,75.894274/12.4244,75.7382", "Open Route")</f>
        <v/>
      </c>
    </row>
    <row r="17">
      <c r="A17" t="n">
        <v>8</v>
      </c>
      <c r="B17" t="inlineStr">
        <is>
          <t>Team 2</t>
        </is>
      </c>
      <c r="C17" t="n">
        <v>21</v>
      </c>
      <c r="D17">
        <f>HYPERLINK("https://www.google.com/maps/dir/12.4244,75.7382/12.31658,75.976693/12.31809,75.97778/12.31507,75.97507/12.31197,75.96663/12.304992,75.966207/12.31239,75.96695/12.305033,75.966115/12.30573,75.96635/12.30732,75.96544/12.31239,75.96702/12.306251,75.969394/12.309074,75.966285/12.308263,75.966307/12.30914,75.96542/12.30909,75.97602/12.30494,75.97009/12.305062,75.966181/12.308231,75.965788/12.307889,75.965633/12.308873,75.965189/12.31337,75.97152/12.4244,75.7382", "Open Route")</f>
        <v/>
      </c>
    </row>
    <row r="18">
      <c r="A18" t="n">
        <v>9</v>
      </c>
      <c r="B18" t="inlineStr">
        <is>
          <t>Team 1</t>
        </is>
      </c>
      <c r="C18" t="n">
        <v>18</v>
      </c>
      <c r="D18">
        <f>HYPERLINK("https://www.google.com/maps/dir/12.4244,75.7382/11.997872,75.958891/12.004538,75.948993/12.000336,75.958054/12.00223,75.954485/11.994397,75.969519/11.994254,75.969567/11.994111,75.968278/11.994811,75.969092/12.007724,75.967788/12.004571,75.972113/12.0008822,75.9748367/12.0004081,75.9746381/11.997827,75.970748/12.008104,75.966286/12.007194,75.961803/12.004951,75.961026/12.012533,75.964802/12.008021,75.961314/12.4244,75.7382", "Open Route")</f>
        <v/>
      </c>
    </row>
    <row r="19">
      <c r="A19" t="n">
        <v>9</v>
      </c>
      <c r="B19" t="inlineStr">
        <is>
          <t>Team 2</t>
        </is>
      </c>
      <c r="C19" t="n">
        <v>38</v>
      </c>
      <c r="D19">
        <f>HYPERLINK("https://www.google.com/maps/dir/12.4244,75.7382/12.30575,75.95118/12.298487,75.945168/12.299107,75.944641/12.303115,75.944317/12.298911,75.944798/12.297077,75.948093/12.302715,75.949433/12.3121,75.9526/12.300468,75.95214/12.3061189,75.947633/12.309381,75.952851/12.30706,75.94867/12.308425,75.951279/12.298296,75.945752/12.30331,75.95158/12.303992,75.952462/12.304009,75.952452/12.30574,75.95154/12.300521,75.948757/12.3057403,75.9500356/12.31129,75.9518/12.303673,75.948357/12.31147,75.95187/12.304209,75.952624/12.30605,75.94993/12.30569,75.95247/12.30573,75.95093/12.305474,75.950663/12.30023,75.94891/12.30704,75.94869/12.304501,75.945101/12.298426,75.944981/12.30462,75.95105/12.305732,75.949904/12.302841,75.951603/12.30081,75.94602/12.307427,75.945387/12.31299,75.94879/12.4244,75.7382", "Open Route")</f>
        <v/>
      </c>
    </row>
    <row r="20">
      <c r="A20" t="n">
        <v>10</v>
      </c>
      <c r="B20" t="inlineStr">
        <is>
          <t>Team 1</t>
        </is>
      </c>
      <c r="C20" t="n">
        <v>7</v>
      </c>
      <c r="D20">
        <f>HYPERLINK("https://www.google.com/maps/dir/12.4244,75.7382/12.002224,75.996392/12.003318,75.996419/12.001166,75.989346/12.008811,75.992908/11.994179,75.997299/12.00196,76.00086/12.009722,75.992974/12.4244,75.7382", "Open Route")</f>
        <v/>
      </c>
    </row>
    <row r="21">
      <c r="A21" t="n">
        <v>10</v>
      </c>
      <c r="B21" t="inlineStr">
        <is>
          <t>Team 2</t>
        </is>
      </c>
      <c r="C21" t="n">
        <v>54</v>
      </c>
      <c r="D21">
        <f>HYPERLINK("https://www.google.com/maps/dir/12.4244,75.7382/12.304099,75.953206/12.3044,75.963457/12.30732,75.95917/12.298315,75.954215/12.305,75.95495/12.300715,75.959938/12.2983518,75.9541133/12.30088,75.95397/12.30506,75.95864/12.30672,75.9538/12.2992061,75.9540636/12.302583,75.953673/12.30368,75.95525/12.30446,75.954893/12.304177,75.953505/12.297564,75.957972/12.301293,75.961332/12.30493,75.956341/12.30406,75.96236/12.306133,75.953681/12.3042056,75.9582338/12.30544,75.95529/12.301821,75.958301/12.29989,75.95519/12.30225,75.95467/12.3019,75.95508/12.304882,75.955702/12.3063718,75.9590251/12.30224,75.95477/12.30501,75.95497/12.2999395,75.9541052/12.302841,75.954827/12.303074,75.955056/12.3013524,75.9538105/12.309747,75.957298/12.30614,75.95382/12.30613,75.95894/12.301987,75.957861/12.304195,75.96102/12.30024,75.95371/12.303636,75.958658/12.30935,75.95322/12.299198,75.952818/12.30572,75.95885/12.303798,75.963477/12.301851,75.958096/12.307388,75.953952/12.299465,75.959172/12.30602,75.95446/12.300558,75.953757/12.299402,75.958504/12.30565,75.953744/12.298038,75.956962/12.30145,75.95456/12.4244,75.7382", "Open Route")</f>
        <v/>
      </c>
    </row>
    <row r="22">
      <c r="A22" t="n">
        <v>11</v>
      </c>
      <c r="B22" t="inlineStr">
        <is>
          <t>Team 1</t>
        </is>
      </c>
      <c r="C22" t="n">
        <v>16</v>
      </c>
      <c r="D22">
        <f>HYPERLINK("https://www.google.com/maps/dir/12.4244,75.7382/12.0154811,76.0046707/12.014956,76.007107/12.006091,76.009618/12.006822,76.006219/12.01368,76.0181/12.006874,76.010941/12.008337,76.008899/12.005396,76.014246/12.003498,76.007075/12.000342,76.005011/11.998662,76.004251/11.997001,76.008299/11.998146,76.011771/12.006649,76.001427/12.016984,76.003521/12.017929,76.007121/12.4244,75.7382", "Open Route")</f>
        <v/>
      </c>
    </row>
    <row r="23">
      <c r="A23" t="n">
        <v>11</v>
      </c>
      <c r="B23" t="inlineStr">
        <is>
          <t>Team 2</t>
        </is>
      </c>
      <c r="C23" t="n">
        <v>6</v>
      </c>
      <c r="D23">
        <f>HYPERLINK("https://www.google.com/maps/dir/12.4244,75.7382/12.301721,75.849422/12.299042,75.858259/12.302141,75.844452/12.304545,75.844143/12.302351,75.848117/12.30233,75.84224/12.4244,75.7382", "Open Route")</f>
        <v/>
      </c>
    </row>
    <row r="24">
      <c r="A24" t="n">
        <v>12</v>
      </c>
      <c r="B24" t="inlineStr">
        <is>
          <t>Team 1</t>
        </is>
      </c>
      <c r="C24" t="n">
        <v>7</v>
      </c>
      <c r="D24">
        <f>HYPERLINK("https://www.google.com/maps/dir/12.4244,75.7382/12.008599,75.883093/12.008439,75.883347/12.008182,75.884429/12.007682,75.885245/12.011387,75.883645/12.008877,75.879333/12.012043,75.874466/12.4244,75.7382", "Open Route")</f>
        <v/>
      </c>
    </row>
    <row r="25">
      <c r="A25" t="n">
        <v>12</v>
      </c>
      <c r="B25" t="inlineStr">
        <is>
          <t>Team 2</t>
        </is>
      </c>
      <c r="C25" t="n">
        <v>12</v>
      </c>
      <c r="D25">
        <f>HYPERLINK("https://www.google.com/maps/dir/12.4244,75.7382/12.299503,75.877991/12.298181,75.88435/12.299244,75.882386/12.299828,75.878765/12.2980121,75.8842972/12.300289,75.883181/12.297886,75.880063/12.297611,75.88334/12.296535,75.893201/12.300398,75.886004/12.28917,75.87962/12.294543,75.877737/12.4244,75.7382", "Open Route")</f>
        <v/>
      </c>
    </row>
    <row r="26">
      <c r="A26" t="n">
        <v>13</v>
      </c>
      <c r="B26" t="inlineStr">
        <is>
          <t>Team 1</t>
        </is>
      </c>
      <c r="C26" t="n">
        <v>14</v>
      </c>
      <c r="D26">
        <f>HYPERLINK("https://www.google.com/maps/dir/12.4244,75.7382/12.027226,75.933192/12.019631,75.926023/12.013371,75.931028/12.016298,75.924462/12.014132,75.932418/12.013915,75.932476/12.013434,75.931423/12.020069,75.926121/12.00669,75.93848/12.010282,75.932458/12.007521,75.935002/12.006315,75.929715/12.015844,75.936524/12.000712,75.945818/12.4244,75.7382", "Open Route")</f>
        <v/>
      </c>
    </row>
    <row r="27">
      <c r="A27" t="n">
        <v>13</v>
      </c>
      <c r="B27" t="inlineStr">
        <is>
          <t>Team 2</t>
        </is>
      </c>
      <c r="C27" t="n">
        <v>10</v>
      </c>
      <c r="D27">
        <f>HYPERLINK("https://www.google.com/maps/dir/12.4244,75.7382/12.296114,75.818976/12.293279,75.819355/12.294914,75.830565/12.28369,75.82783/12.290846,75.818961/12.290933,75.821832/12.30224576,75.818324/12.309093,75.821666/12.306759,75.828137/12.306756,75.827569/12.4244,75.7382", "Open Route")</f>
        <v/>
      </c>
    </row>
    <row r="28">
      <c r="A28" t="n">
        <v>14</v>
      </c>
      <c r="B28" t="inlineStr">
        <is>
          <t>Team 1</t>
        </is>
      </c>
      <c r="C28" t="n">
        <v>20</v>
      </c>
      <c r="D28">
        <f>HYPERLINK("https://www.google.com/maps/dir/12.4244,75.7382/12.022494,75.97545/12.018206,75.968521/12.011831,75.970128/12.01256,75.974458/12.010061,75.982094/12.014628,75.980812/12.009393,75.983131/12.012866,75.982118/12.012131,75.974476/12.0081,75.980981/12.009332,75.984618/12.015461,75.975099/12.016472,75.982795/12.020357,75.977649/12.017956,75.977901/12.017714,75.976828/12.016622,75.975669/12.016772,75.985106/12.021261,75.978442/12.022371,75.980272/12.4244,75.7382", "Open Route")</f>
        <v/>
      </c>
    </row>
    <row r="29">
      <c r="A29" t="n">
        <v>14</v>
      </c>
      <c r="B29" t="inlineStr">
        <is>
          <t>Team 2</t>
        </is>
      </c>
      <c r="C29" t="n">
        <v>9</v>
      </c>
      <c r="D29">
        <f>HYPERLINK("https://www.google.com/maps/dir/12.4244,75.7382/12.306806,75.919252/12.299591,75.919519/12.291519,75.919956/12.304921,75.919569/12.295044,75.920471/12.292517,75.923228/12.292878,75.925078/12.295503,75.920025/12.293182,75.925621/12.4244,75.7382", "Open Route")</f>
        <v/>
      </c>
    </row>
    <row r="30">
      <c r="A30" t="n">
        <v>15</v>
      </c>
      <c r="B30" t="inlineStr">
        <is>
          <t>Team 1</t>
        </is>
      </c>
      <c r="C30" t="n">
        <v>5</v>
      </c>
      <c r="D30">
        <f>HYPERLINK("https://www.google.com/maps/dir/12.4244,75.7382/12.020999,75.918452/12.0169289,75.9079203/12.014102,75.904458/12.013465,75.904537/12.017022,75.897248/12.4244,75.7382", "Open Route")</f>
        <v/>
      </c>
    </row>
    <row r="31">
      <c r="A31" t="n">
        <v>15</v>
      </c>
      <c r="B31" t="inlineStr">
        <is>
          <t>Team 2</t>
        </is>
      </c>
      <c r="C31" t="n">
        <v>18</v>
      </c>
      <c r="D31">
        <f>HYPERLINK("https://www.google.com/maps/dir/12.4244,75.7382/12.295473,75.8664/12.29479,75.861821/12.29427,75.86703/12.29496,75.86592/12.29491,75.86566/12.291177,75.872909/12.2908276,75.8710961/12.290046,75.871325/12.2934783,75.8714907/12.293486,75.874704/12.296846,75.875299/12.297837,75.875424/12.296718,75.875354/12.296712,75.87532/12.299167,75.871197/12.299945,75.871728/12.300441,75.871508/12.30342,75.87404/12.4244,75.7382", "Open Route")</f>
        <v/>
      </c>
    </row>
    <row r="32">
      <c r="A32" t="n">
        <v>16</v>
      </c>
      <c r="B32" t="inlineStr">
        <is>
          <t>Team 1</t>
        </is>
      </c>
      <c r="C32" t="n">
        <v>16</v>
      </c>
      <c r="D32">
        <f>HYPERLINK("https://www.google.com/maps/dir/12.4244,75.7382/12.027176,75.944301/12.029683,75.952475/12.026091,75.945187/12.029608,75.952536/12.029498,75.945715/12.031455,75.949278/12.019051,75.956184/12.018798,75.952129/12.020224,75.952341/12.019767,75.944044/12.019692,75.943968/12.023351,75.945191/12.007837,75.950856/12.011649,75.949077/12.008714,75.953231/12.021439,75.957643/12.4244,75.7382", "Open Route")</f>
        <v/>
      </c>
    </row>
    <row r="33">
      <c r="A33" t="n">
        <v>16</v>
      </c>
      <c r="B33" t="inlineStr">
        <is>
          <t>Team 2</t>
        </is>
      </c>
      <c r="C33" t="n">
        <v>13</v>
      </c>
      <c r="D33">
        <f>HYPERLINK("https://www.google.com/maps/dir/12.4244,75.7382/12.2885585,75.9546926/12.2890529,75.9527816/12.2906718,75.9554648/12.289277,75.955483/12.2880966,75.9544234/12.290872,75.955721/12.28632,75.95228/12.28688,75.94778/12.289052,75.953117/12.28929,75.953033/12.2865097,75.948661/12.289151,75.955343/12.29641,75.95369/12.4244,75.7382", "Open Route")</f>
        <v/>
      </c>
    </row>
    <row r="34">
      <c r="A34" t="n">
        <v>17</v>
      </c>
      <c r="B34" t="inlineStr">
        <is>
          <t>Team 1</t>
        </is>
      </c>
      <c r="C34" t="n">
        <v>21</v>
      </c>
      <c r="D34">
        <f>HYPERLINK("https://www.google.com/maps/dir/12.4244,75.7382/12.0309675,75.9862093/12.027146,75.990373/12.030337,75.995003/12.027252,75.993858/12.027897,75.993102/12.025891,75.991847/12.028908,75.995335/12.022245,75.988803/12.020629,75.991229/12.020632,75.992541/12.019699,75.993331/12.022434,75.989385/12.021895,75.988979/12.022901,75.989143/12.022136,75.988719/12.020941,75.986382/12.015886,75.989546/12.013689,75.998609/12.020095,75.995841/12.017201,75.998943/12.016074,75.998928/12.4244,75.7382", "Open Route")</f>
        <v/>
      </c>
    </row>
    <row r="35">
      <c r="A35" t="n">
        <v>17</v>
      </c>
      <c r="B35" t="inlineStr">
        <is>
          <t>Team 2</t>
        </is>
      </c>
      <c r="C35" t="n">
        <v>6</v>
      </c>
      <c r="D35">
        <f>HYPERLINK("https://www.google.com/maps/dir/12.4244,75.7382/12.293932,75.857112/12.284384,75.844761/12.27991,75.84821/12.282428,75.851008/12.29138,75.85094/12.29164,75.851624/12.4244,75.7382", "Open Route")</f>
        <v/>
      </c>
    </row>
    <row r="36">
      <c r="A36" t="n">
        <v>18</v>
      </c>
      <c r="B36" t="inlineStr">
        <is>
          <t>Team 1</t>
        </is>
      </c>
      <c r="C36" t="n">
        <v>15</v>
      </c>
      <c r="D36">
        <f>HYPERLINK("https://www.google.com/maps/dir/12.4244,75.7382/12.016903,75.867276/12.025305,75.869912/12.029079,75.863903/12.027665,75.868121/12.030927,75.863133/12.029441,75.864091/12.030159,75.862261/12.027618,75.866928/12.028899,75.865304/12.028502,75.867357/12.013657,75.853974/12.020201,75.866278/12.010336,75.852287/12.008351,75.854159/12.022669,75.859911/12.4244,75.7382", "Open Route")</f>
        <v/>
      </c>
    </row>
    <row r="37">
      <c r="A37" t="n">
        <v>18</v>
      </c>
      <c r="B37" t="inlineStr">
        <is>
          <t>Team 2</t>
        </is>
      </c>
      <c r="C37" t="n">
        <v>12</v>
      </c>
      <c r="D37">
        <f>HYPERLINK("https://www.google.com/maps/dir/12.4244,75.7382/12.291091,75.862701/12.285949,75.866349/12.284929,75.860072/12.280745,75.859801/12.284868,75.865637/12.287498,75.865438/12.280428,75.855703/12.276624,75.854655/12.27859,75.85697/12.285566,75.866159/12.283908,75.859556/12.286659,75.867727/12.4244,75.7382", "Open Route")</f>
        <v/>
      </c>
    </row>
    <row r="38">
      <c r="A38" t="n">
        <v>19</v>
      </c>
      <c r="B38" t="inlineStr">
        <is>
          <t>Team 1</t>
        </is>
      </c>
      <c r="C38" t="n">
        <v>10</v>
      </c>
      <c r="D38">
        <f>HYPERLINK("https://www.google.com/maps/dir/12.4244,75.7382/12.034007,75.879225/12.030171,75.877107/12.023156,75.881537/12.024695,75.877314/12.018372,75.876359/12.018121,75.875887/12.017095,75.879299/12.023933,75.881966/12.030559,75.877771/12.023613,75.882224/12.4244,75.7382", "Open Route")</f>
        <v/>
      </c>
    </row>
    <row r="39">
      <c r="A39" t="n">
        <v>19</v>
      </c>
      <c r="B39" t="inlineStr">
        <is>
          <t>Team 2</t>
        </is>
      </c>
      <c r="C39" t="n">
        <v>8</v>
      </c>
      <c r="D39">
        <f>HYPERLINK("https://www.google.com/maps/dir/12.4244,75.7382/12.274084,75.934218/12.2826948,75.9405309/12.272344,75.93331/12.275093,75.932514/12.28337,75.93436/12.286038,75.932504/12.2789857,75.9382597/12.267236,75.933149/12.4244,75.7382", "Open Route")</f>
        <v/>
      </c>
    </row>
    <row r="40">
      <c r="A40" t="n">
        <v>20</v>
      </c>
      <c r="B40" t="inlineStr">
        <is>
          <t>Team 1</t>
        </is>
      </c>
      <c r="C40" t="n">
        <v>13</v>
      </c>
      <c r="D40">
        <f>HYPERLINK("https://www.google.com/maps/dir/12.4244,75.7382/12.031157,75.89861/12.025649,75.89525/12.026456,75.893019/12.03,75.896582/12.028253,75.895435/12.029907,75.89678/12.029585,75.88904/12.020143,75.889953/12.025901,75.886972/12.018819,75.891437/12.030172,75.888243/12.020591,75.887041/12.027214,75.889306/12.4244,75.7382", "Open Route")</f>
        <v/>
      </c>
    </row>
    <row r="41">
      <c r="A41" t="n">
        <v>20</v>
      </c>
      <c r="B41" t="inlineStr">
        <is>
          <t>Team 2</t>
        </is>
      </c>
      <c r="C41" t="n">
        <v>12</v>
      </c>
      <c r="D41">
        <f>HYPERLINK("https://www.google.com/maps/dir/12.4244,75.7382/12.286464,75.790683/12.271255,75.786005/12.273504,75.791783/12.271445,75.793142/12.277116,75.789438/12.276163,75.783001/12.278163,75.788933/12.271541,75.784946/12.271941,75.790354/12.278718,75.75675/12.279578,75.783055/12.279195,75.783887/12.4244,75.7382", "Open Route")</f>
        <v/>
      </c>
    </row>
    <row r="42">
      <c r="A42" t="n">
        <v>21</v>
      </c>
      <c r="B42" t="inlineStr">
        <is>
          <t>Team 1</t>
        </is>
      </c>
      <c r="C42" t="n">
        <v>27</v>
      </c>
      <c r="D42">
        <f>HYPERLINK("https://www.google.com/maps/dir/12.4244,75.7382/12.036224,75.966482/12.029966,75.969497/12.030335000000001,75.970171/12.029961,75.967468/12.029305,75.965748/12.029469,75.967343/12.029727,75.968493/12.020927,75.961392/12.022139,75.965827/12.023326,75.966171/12.023262,75.968029/12.027408,75.964031/12.022074,75.966346/12.029813,75.965936/12.029659,75.968511/12.030386,75.967311/12.030141,75.966807/12.032119,75.967966/12.029965,75.965447/12.028055,75.96514/12.030351,75.959232/12.030801,75.958627/12.029089,75.963999/12.031097,75.958878/12.034709,75.962008/12.033165,75.961724/12.034368,75.964059/12.4244,75.7382", "Open Route")</f>
        <v/>
      </c>
    </row>
    <row r="43">
      <c r="A43" t="n">
        <v>21</v>
      </c>
      <c r="B43" t="inlineStr">
        <is>
          <t>Team 2</t>
        </is>
      </c>
      <c r="C43" t="n">
        <v>5</v>
      </c>
      <c r="D43">
        <f>HYPERLINK("https://www.google.com/maps/dir/12.4244,75.7382/12.279553,75.811544/12.271981,75.813174/12.269094,75.802703/12.269589,75.806311/12.286457,75.802578/12.4244,75.7382", "Open Route")</f>
        <v/>
      </c>
    </row>
    <row r="44">
      <c r="A44" t="n">
        <v>22</v>
      </c>
      <c r="B44" t="inlineStr">
        <is>
          <t>Team 1</t>
        </is>
      </c>
      <c r="C44" t="n">
        <v>22</v>
      </c>
      <c r="D44">
        <f>HYPERLINK("https://www.google.com/maps/dir/12.4244,75.7382/12.043651,76.036415/12.021936,76.047968/12.027822,76.034857/12.022084,76.012183/12.039576,76.0071013/12.032437,76.010585/12.031321,76.008137/12.0314188,76.01212789/12.039011,76.000583/12.037532,76.013074/12.034792,76.006284/12.040242,76.001757/12.038216,76.009417/12.034459,76.008549/12.035145,75.997345/12.032803,75.998047/12.032243,76.002117/12.029402,76.005041/12.026024,76.005388/12.031364,76.003306/12.030461,76.004661/12.022983,76.007823/12.4244,75.7382", "Open Route")</f>
        <v/>
      </c>
    </row>
    <row r="45">
      <c r="A45" t="n">
        <v>22</v>
      </c>
      <c r="B45" t="inlineStr">
        <is>
          <t>Team 2</t>
        </is>
      </c>
      <c r="C45" t="n">
        <v>20</v>
      </c>
      <c r="D45">
        <f>HYPERLINK("https://www.google.com/maps/dir/12.4244,75.7382/12.272899,75.865347/12.278763,75.868838/12.273661,75.867071/12.282132,75.871085/12.2765786,75.8660561/12.275272,75.868125/12.278761,75.868838/12.276469,75.869094/12.27345,75.86792/12.27406,75.86715/12.276468,75.869095/12.278618,75.869049/12.27607,75.86609/12.270744,75.865065/12.267116,75.867823/12.271148,75.873583/12.268461,75.864483/12.269523,75.865987/12.2761363,75.86611716/12.273663,75.872255/12.4244,75.7382", "Open Route")</f>
        <v/>
      </c>
    </row>
    <row r="46">
      <c r="A46" t="n">
        <v>23</v>
      </c>
      <c r="B46" t="inlineStr">
        <is>
          <t>Team 1</t>
        </is>
      </c>
      <c r="C46" t="n">
        <v>17</v>
      </c>
      <c r="D46">
        <f>HYPERLINK("https://www.google.com/maps/dir/12.4244,75.7382/12.04383,75.907822/12.043735,75.907888/12.046656,75.908978/12.04166,75.911509/12.041383,75.911425/12.046922,75.909611/12.046249,75.910326/12.041059,75.915797/12.043734,75.90788/12.033389,75.915692/12.034177,75.916708/12.036384,75.910309/12.033537,75.907185/12.032284,75.904537/12.036123,75.914258/12.033295,75.916394/12.03223,75.91813785/12.4244,75.7382", "Open Route")</f>
        <v/>
      </c>
    </row>
    <row r="47">
      <c r="A47" t="n">
        <v>23</v>
      </c>
      <c r="B47" t="inlineStr">
        <is>
          <t>Team 2</t>
        </is>
      </c>
      <c r="C47" t="n">
        <v>8</v>
      </c>
      <c r="D47">
        <f>HYPERLINK("https://www.google.com/maps/dir/12.4244,75.7382/12.273555,75.953561/12.274161,75.957245/12.270203,75.960429/12.270468,75.959173/12.268653,75.966701/12.2748788,75.9550081/12.27376,75.952945/12.26705,75.94715/12.4244,75.7382", "Open Route")</f>
        <v/>
      </c>
    </row>
    <row r="48">
      <c r="A48" t="n">
        <v>24</v>
      </c>
      <c r="B48" t="inlineStr">
        <is>
          <t>Team 1</t>
        </is>
      </c>
      <c r="C48" t="n">
        <v>12</v>
      </c>
      <c r="D48">
        <f>HYPERLINK("https://www.google.com/maps/dir/12.4244,75.7382/12.05066,75.863445/12.040074,75.855478/12.036566,75.857647/12.043286,75.864316/12.036099,75.858042/12.050454,75.86353/12.037657,75.852891/12.050652,75.863449/12.043123,75.865806/12.040022,75.868649/12.0340415,75.86946/12.037821,75.868079/12.4244,75.7382", "Open Route")</f>
        <v/>
      </c>
    </row>
    <row r="49">
      <c r="A49" t="n">
        <v>24</v>
      </c>
      <c r="B49" t="inlineStr">
        <is>
          <t>Team 2</t>
        </is>
      </c>
      <c r="C49" t="n">
        <v>11</v>
      </c>
      <c r="D49">
        <f>HYPERLINK("https://www.google.com/maps/dir/12.4244,75.7382/12.266869,75.91707/12.2681,75.91657/12.26644,75.91974/12.275991,75.915365/12.276771,75.916291/12.275495,75.917984/12.266409,75.922577/12.261827,75.926651/12.265631,75.922398/12.277912,75.915271/12.268336,75.922111/12.4244,75.7382", "Open Route")</f>
        <v/>
      </c>
    </row>
    <row r="50">
      <c r="A50" t="n">
        <v>25</v>
      </c>
      <c r="B50" t="inlineStr">
        <is>
          <t>Team 1</t>
        </is>
      </c>
      <c r="C50" t="n">
        <v>17</v>
      </c>
      <c r="D50">
        <f>HYPERLINK("https://www.google.com/maps/dir/12.4244,75.7382/12.046431,75.977799/12.040212,75.973463/12.049128,75.979095/12.046525,75.969389/12.040801,75.971569/12.043546,75.971568/12.043895,75.970351/12.04504,75.9817/12.050227,75.972554/12.046378,75.965872/12.038652,75.972991/12.038498,75.974122/12.040101,75.969339/12.039961,75.969373/12.03674,75.969993/12.031889,75.976405/12.033924,75.972665/12.4244,75.7382", "Open Route")</f>
        <v/>
      </c>
    </row>
    <row r="51">
      <c r="A51" t="n">
        <v>25</v>
      </c>
      <c r="B51" t="inlineStr">
        <is>
          <t>Team 2</t>
        </is>
      </c>
      <c r="C51" t="n">
        <v>20</v>
      </c>
      <c r="D51">
        <f>HYPERLINK("https://www.google.com/maps/dir/12.4244,75.7382/12.26666,75.823894/12.2630085,75.8272374/12.262129,75.829408/12.261629,75.833231/12.268543,75.831304/12.257994,75.838783/12.27835,75.82819/12.270141,75.832658/12.261618,75.835024/12.264972,75.831718/12.267521,75.831784/12.274301,75.837806/12.272462,75.845273/12.266858,75.836839/12.275871,75.835881/12.267228,75.843322/12.267158,75.832173/12.268234,75.832213/12.267841,75.832812/12.257451,75.834359/12.4244,75.7382", "Open Route")</f>
        <v/>
      </c>
    </row>
    <row r="52">
      <c r="A52" t="n">
        <v>26</v>
      </c>
      <c r="B52" t="inlineStr">
        <is>
          <t>Team 1</t>
        </is>
      </c>
      <c r="C52" t="n">
        <v>7</v>
      </c>
      <c r="D52">
        <f>HYPERLINK("https://www.google.com/maps/dir/12.4244,75.7382/12.047291,75.959237/12.036146,75.958613/12.042175,75.954828/12.037061,75.955026/12.046556,75.957349/12.045048,75.952831/12.043925,75.952314/12.4244,75.7382", "Open Route")</f>
        <v/>
      </c>
    </row>
    <row r="53">
      <c r="A53" t="n">
        <v>26</v>
      </c>
      <c r="B53" t="inlineStr">
        <is>
          <t>Team 2</t>
        </is>
      </c>
      <c r="C53" t="n">
        <v>26</v>
      </c>
      <c r="D53">
        <f>HYPERLINK("https://www.google.com/maps/dir/12.4244,75.7382/12.269141,75.878383/12.266041,75.875361/12.26521,75.87574/12.263147,75.879704/12.26824,75.8757/12.26363,75.87696/12.259317,75.869215/12.261023,75.88556/12.269947,75.877759/12.261381,75.885361/12.266761,75.878691/12.271805,75.877898/12.261206,75.885391/12.265112,75.877433/12.263454,75.880192/12.267631,75.878561/12.261009,75.877144/12.26427,75.87813/12.263861,75.878662/12.26556,75.88133/12.264311,75.872461/12.264391,75.877821/12.26232,75.8771/12.26472,75.875/12.263273,75.881816/12.264421,75.871351/12.4244,75.7382", "Open Route")</f>
        <v/>
      </c>
    </row>
    <row r="54">
      <c r="A54" t="n">
        <v>27</v>
      </c>
      <c r="B54" t="inlineStr">
        <is>
          <t>Team 1</t>
        </is>
      </c>
      <c r="C54" t="n">
        <v>10</v>
      </c>
      <c r="D54">
        <f>HYPERLINK("https://www.google.com/maps/dir/12.4244,75.7382/12.046821,75.894371/12.040991,75.895091/12.046591,75.893871/12.046571,75.893908/12.042753,75.895617/12.043549,75.895501/12.0433549,75.89555/12.047152,75.895503/12.04069,75.89244/12.041368,75.890419/12.4244,75.7382", "Open Route")</f>
        <v/>
      </c>
    </row>
    <row r="55">
      <c r="A55" t="n">
        <v>27</v>
      </c>
      <c r="B55" t="inlineStr">
        <is>
          <t>Team 2</t>
        </is>
      </c>
      <c r="C55" t="n">
        <v>12</v>
      </c>
      <c r="D55">
        <f>HYPERLINK("https://www.google.com/maps/dir/12.4244,75.7382/12.259239,75.907065/12.267124,75.912116/12.270963,75.902285/12.26224,75.90154/12.27198,75.909991/12.26761,75.89981/12.26159,75.91374/12.27068,75.90219/12.255038,75.914984/12.25857,75.91587/12.260119,75.907867/12.26745,75.90017/12.4244,75.7382", "Open Route")</f>
        <v/>
      </c>
    </row>
    <row r="56">
      <c r="A56" t="n">
        <v>28</v>
      </c>
      <c r="B56" t="inlineStr">
        <is>
          <t>Team 1</t>
        </is>
      </c>
      <c r="C56" t="n">
        <v>16</v>
      </c>
      <c r="D56">
        <f>HYPERLINK("https://www.google.com/maps/dir/12.4244,75.7382/12.044434,75.92136/12.040887,75.919038/12.043957,75.921018/12.042808,75.922513/12.048851,75.922111/12.049898,75.920716/12.046087,75.921542/12.048525,75.920553/12.04423,75.917456/12.048788,75.92247/12.046444,75.921053/12.034441,75.933101/12.035427,75.930333/12.034538,75.929366/12.049698,75.932738/12.051545,75.923688/12.4244,75.7382", "Open Route")</f>
        <v/>
      </c>
    </row>
    <row r="57">
      <c r="A57" t="n">
        <v>28</v>
      </c>
      <c r="B57" t="inlineStr">
        <is>
          <t>Team 2</t>
        </is>
      </c>
      <c r="C57" t="n">
        <v>13</v>
      </c>
      <c r="D57">
        <f>HYPERLINK("https://www.google.com/maps/dir/12.4244,75.7382/12.260551,75.856431/12.258474,75.855689/12.26043,75.85611/12.264281,75.857978/12.257308,75.852096/12.262261,75.854701/12.264362,75.857317/12.26678,75.86282/12.269515,75.85312/12.262264,75.854228/12.26252,75.85833/12.267461,75.861251/12.265374,75.85788/12.4244,75.7382", "Open Route")</f>
        <v/>
      </c>
    </row>
    <row r="58">
      <c r="A58" t="n">
        <v>29</v>
      </c>
      <c r="B58" t="inlineStr">
        <is>
          <t>Team 1</t>
        </is>
      </c>
      <c r="C58" t="n">
        <v>16</v>
      </c>
      <c r="D58">
        <f>HYPERLINK("https://www.google.com/maps/dir/12.4244,75.7382/12.050431,75.849101/12.051249,75.840907/12.047134,75.842121/12.051142,75.846014/12.052179,75.840955/12.047911,75.842264/12.049792,75.849593/12.045814,75.840087/12.046909,75.839378/12.042741,75.835452/12.049873,75.847187/12.042715,75.845416/12.041178,75.852398/12.039846,75.844145/12.036337,75.848616/12.037335,75.844862/12.4244,75.7382", "Open Route")</f>
        <v/>
      </c>
    </row>
    <row r="59">
      <c r="A59" t="n">
        <v>29</v>
      </c>
      <c r="B59" t="inlineStr">
        <is>
          <t>Team 2</t>
        </is>
      </c>
      <c r="C59" t="n">
        <v>7</v>
      </c>
      <c r="D59">
        <f>HYPERLINK("https://www.google.com/maps/dir/12.4244,75.7382/12.2346,75.774883/12.234426,75.774812/12.2508694,75.7932495/12.2508993,75.7930866/12.25603,75.778553/12.258956,75.783701/12.256522,75.782843/12.4244,75.7382", "Open Route")</f>
        <v/>
      </c>
    </row>
    <row r="60">
      <c r="A60" t="n">
        <v>30</v>
      </c>
      <c r="B60" t="inlineStr">
        <is>
          <t>Team 1</t>
        </is>
      </c>
      <c r="C60" t="n">
        <v>4</v>
      </c>
      <c r="D60">
        <f>HYPERLINK("https://www.google.com/maps/dir/12.4244,75.7382/12.052765,75.994219/12.053588,75.992338/12.053589,75.992339/12.047878,76.005255/12.4244,75.7382", "Open Route")</f>
        <v/>
      </c>
    </row>
    <row r="61">
      <c r="A61" t="n">
        <v>30</v>
      </c>
      <c r="B61" t="inlineStr">
        <is>
          <t>Team 2</t>
        </is>
      </c>
      <c r="C61" t="n">
        <v>5</v>
      </c>
      <c r="D61">
        <f>HYPERLINK("https://www.google.com/maps/dir/12.4244,75.7382/12.239808,75.735932/12.249511,75.750292/12.244484,75.755352/12.260448,75.759401/12.253867,75.740151/12.4244,75.7382", "Open Route")</f>
        <v/>
      </c>
    </row>
    <row r="62">
      <c r="A62" t="n">
        <v>31</v>
      </c>
      <c r="B62" t="inlineStr">
        <is>
          <t>Team 1</t>
        </is>
      </c>
      <c r="C62" t="n">
        <v>10</v>
      </c>
      <c r="D62">
        <f>HYPERLINK("https://www.google.com/maps/dir/12.4244,75.7382/12.050752,75.82981/12.051967,75.829765/12.052246,75.828355/12.055255,75.836668/12.056043,75.835737/12.056046,75.835737/12.053382,75.827171/12.050751,75.82981/12.051962,75.829765/12.053853,75.837923/12.4244,75.7382", "Open Route")</f>
        <v/>
      </c>
    </row>
    <row r="63">
      <c r="A63" t="n">
        <v>31</v>
      </c>
      <c r="B63" t="inlineStr">
        <is>
          <t>Team 2</t>
        </is>
      </c>
      <c r="C63" t="n">
        <v>6</v>
      </c>
      <c r="D63">
        <f>HYPERLINK("https://www.google.com/maps/dir/12.4244,75.7382/12.246713,75.931841/12.24003,75.94151/12.249851,75.938522/12.246341,75.955198/12.249239,75.953449/12.251039,75.953533/12.4244,75.7382", "Open Route")</f>
        <v/>
      </c>
    </row>
    <row r="64">
      <c r="A64" t="n">
        <v>32</v>
      </c>
      <c r="B64" t="inlineStr">
        <is>
          <t>Team 1</t>
        </is>
      </c>
      <c r="C64" t="n">
        <v>5</v>
      </c>
      <c r="D64">
        <f>HYPERLINK("https://www.google.com/maps/dir/12.4244,75.7382/12.058197,75.959294/12.049485,75.963254/12.05243,75.95054/12.057294,75.954881/12.057022,75.955079/12.4244,75.7382", "Open Route")</f>
        <v/>
      </c>
    </row>
    <row r="65">
      <c r="A65" t="n">
        <v>32</v>
      </c>
      <c r="B65" t="inlineStr">
        <is>
          <t>Team 2</t>
        </is>
      </c>
      <c r="C65" t="n">
        <v>8</v>
      </c>
      <c r="D65">
        <f>HYPERLINK("https://www.google.com/maps/dir/12.4244,75.7382/12.245899,75.891241/12.245881,75.891221/12.242058,75.888581/12.24179,75.89157/12.249623,75.875832/12.249341,75.875708/12.249714,75.875952/12.245963,75.884491/12.4244,75.7382", "Open Route")</f>
        <v/>
      </c>
    </row>
    <row r="66">
      <c r="A66" t="n">
        <v>33</v>
      </c>
      <c r="B66" t="inlineStr">
        <is>
          <t>Team 1</t>
        </is>
      </c>
      <c r="C66" t="n">
        <v>4</v>
      </c>
      <c r="D66">
        <f>HYPERLINK("https://www.google.com/maps/dir/12.4244,75.7382/12.053481,75.90306/12.053446,75.908692/12.053733,75.908624/12.064652,75.901674/12.4244,75.7382", "Open Route")</f>
        <v/>
      </c>
    </row>
    <row r="67">
      <c r="A67" t="n">
        <v>33</v>
      </c>
      <c r="B67" t="inlineStr">
        <is>
          <t>Team 2</t>
        </is>
      </c>
      <c r="C67" t="n">
        <v>13</v>
      </c>
      <c r="D67">
        <f>HYPERLINK("https://www.google.com/maps/dir/12.4244,75.7382/12.239191,75.856579/12.244922,75.848275/12.248461,75.858104/12.239615,75.857908/12.238331,75.863783/12.238712,75.861023/12.250615,75.864511/12.240334,75.864201/12.247211,75.862219/12.2423823,75.8580503/12.239934,75.856639/12.247921,75.848261/12.245548,75.850232/12.4244,75.7382", "Open Route")</f>
        <v/>
      </c>
    </row>
    <row r="68">
      <c r="A68" t="n">
        <v>34</v>
      </c>
      <c r="B68" t="inlineStr">
        <is>
          <t>Team 1</t>
        </is>
      </c>
      <c r="C68" t="n">
        <v>9</v>
      </c>
      <c r="D68">
        <f>HYPERLINK("https://www.google.com/maps/dir/12.4244,75.7382/12.061227,75.94981/12.05537,75.941941/12.061114,75.942117/12.060445,75.942151/12.055361,75.941941/12.05536,75.941941/12.052712,75.94348/12.0596435,75.942226/12.053994,75.937906/12.4244,75.7382", "Open Route")</f>
        <v/>
      </c>
    </row>
    <row r="69">
      <c r="A69" t="n">
        <v>34</v>
      </c>
      <c r="B69" t="inlineStr">
        <is>
          <t>Team 2</t>
        </is>
      </c>
      <c r="C69" t="n">
        <v>7</v>
      </c>
      <c r="D69">
        <f>HYPERLINK("https://www.google.com/maps/dir/12.4244,75.7382/12.236061,75.915322/12.245854,75.917757/12.240152,75.924201/12.244237,75.918575/12.24194,75.91619/12.2363525,75.9042617/12.2498163,75.9187061/12.4244,75.7382", "Open Route")</f>
        <v/>
      </c>
    </row>
    <row r="70">
      <c r="A70" t="n">
        <v>35</v>
      </c>
      <c r="B70" t="inlineStr">
        <is>
          <t>Team 1</t>
        </is>
      </c>
      <c r="C70" t="n">
        <v>15</v>
      </c>
      <c r="D70">
        <f>HYPERLINK("https://www.google.com/maps/dir/12.4244,75.7382/12.062951,75.921019/12.059679,75.921078/12.062175,75.921833/12.059366,75.928313/12.060295,75.929347/12.058501,75.923897/12.057313,75.924048/12.062145,75.926023/12.063469,75.920431/12.058947,75.924391/12.059499,75.923055/12.057461,75.924086/12.060852,75.922127/12.061632,75.93244/12.05342,75.92073/12.4244,75.7382", "Open Route")</f>
        <v/>
      </c>
    </row>
    <row r="71">
      <c r="A71" t="n">
        <v>35</v>
      </c>
      <c r="B71" t="inlineStr">
        <is>
          <t>Team 2</t>
        </is>
      </c>
      <c r="C71" t="n">
        <v>17</v>
      </c>
      <c r="D71">
        <f>HYPERLINK("https://www.google.com/maps/dir/12.4244,75.7382/12.246351,75.813681/12.233191,75.802341/12.239183,75.831917/12.234816,75.833107/12.2448541,75.824483/12.245392,75.825743/12.24415,75.823536/12.238976,75.829998/12.245986,75.826924/12.243903,75.826196/12.246606,75.828738/12.226131,75.833181/12.225336,75.830837/12.226233,75.833254/12.251475,75.824175/12.251638,75.826354/12.252938,75.823651/12.4244,75.7382", "Open Route")</f>
        <v/>
      </c>
    </row>
    <row r="72">
      <c r="A72" t="n">
        <v>36</v>
      </c>
      <c r="B72" t="inlineStr">
        <is>
          <t>Team 1</t>
        </is>
      </c>
      <c r="C72" t="n">
        <v>7</v>
      </c>
      <c r="D72">
        <f>HYPERLINK("https://www.google.com/maps/dir/12.4244,75.7382/12.06932,75.975734/12.057862,75.985887/12.06886,75.969794/12.059425,75.977931/12.062441,75.973943/12.061678,75.981843/12.052385,75.974692/12.4244,75.7382", "Open Route")</f>
        <v/>
      </c>
    </row>
    <row r="73">
      <c r="A73" t="n">
        <v>36</v>
      </c>
      <c r="B73" t="inlineStr">
        <is>
          <t>Team 2</t>
        </is>
      </c>
      <c r="C73" t="n">
        <v>14</v>
      </c>
      <c r="D73">
        <f>HYPERLINK("https://www.google.com/maps/dir/12.4244,75.7382/12.229476,75.861886/12.232967,75.86129/12.232756,75.863009/12.233781,75.866166/12.235103,75.864271/12.231231,75.877621/12.23083,75.87055/12.232953,75.862317/12.232681,75.876931/12.228455,75.870561/12.232941,75.862468/12.232742,75.861761/12.239874,75.872589/12.238059,75.867257/12.4244,75.7382", "Open Route")</f>
        <v/>
      </c>
    </row>
    <row r="74">
      <c r="A74" t="n">
        <v>37</v>
      </c>
      <c r="B74" t="inlineStr">
        <is>
          <t>Team 1</t>
        </is>
      </c>
      <c r="C74" t="n">
        <v>14</v>
      </c>
      <c r="D74">
        <f>HYPERLINK("https://www.google.com/maps/dir/12.4244,75.7382/12.072467,75.944443/12.071409,75.943963/12.070401,75.943661/12.070179,75.944816/12.071299,75.943804/12.069967,75.943533/12.070665,75.952631/12.070622,75.952649/12.072662,75.954385/12.066646,75.95335/12.069527,75.952641/12.072026,75.953741/12.073243,75.942052/12.072467,75.9444436/12.4244,75.7382", "Open Route")</f>
        <v/>
      </c>
    </row>
    <row r="75">
      <c r="A75" t="n">
        <v>37</v>
      </c>
      <c r="B75" t="inlineStr">
        <is>
          <t>Team 2</t>
        </is>
      </c>
      <c r="C75" t="n">
        <v>4</v>
      </c>
      <c r="D75">
        <f>HYPERLINK("https://www.google.com/maps/dir/12.4244,75.7382/12.238529,75.978779/12.223753,76.015425/12.223061,76.001494/12.23163,75.991098/12.4244,75.7382", "Open Route")</f>
        <v/>
      </c>
    </row>
    <row r="76">
      <c r="A76" t="n">
        <v>38</v>
      </c>
      <c r="B76" t="inlineStr">
        <is>
          <t>Team 1</t>
        </is>
      </c>
      <c r="C76" t="n">
        <v>6</v>
      </c>
      <c r="D76">
        <f>HYPERLINK("https://www.google.com/maps/dir/12.4244,75.7382/12.074765,76.003581/12.072957,76.005249/12.061376,76.005602/12.064631,76.006337/12.082552,76.006264/12.070059,75.998481/12.4244,75.7382", "Open Route")</f>
        <v/>
      </c>
    </row>
    <row r="77">
      <c r="A77" t="n">
        <v>38</v>
      </c>
      <c r="B77" t="inlineStr">
        <is>
          <t>Team 2</t>
        </is>
      </c>
      <c r="C77" t="n">
        <v>9</v>
      </c>
      <c r="D77">
        <f>HYPERLINK("https://www.google.com/maps/dir/12.4244,75.7382/12.229394,75.842193/12.223466,75.846212/12.226037,75.859224/12.225985,75.862441/12.224944,75.861548/12.225503,75.854654/12.231008,75.855409/12.234586,75.852702/12.226225,75.851691/12.4244,75.7382", "Open Route")</f>
        <v/>
      </c>
    </row>
    <row r="78">
      <c r="A78" t="n">
        <v>39</v>
      </c>
      <c r="B78" t="inlineStr">
        <is>
          <t>Team 1</t>
        </is>
      </c>
      <c r="C78" t="n">
        <v>13</v>
      </c>
      <c r="D78">
        <f>HYPERLINK("https://www.google.com/maps/dir/12.4244,75.7382/12.081882,75.929167/12.073971,75.932151/12.077229,75.930642/12.071271,75.935039/12.067591,75.935268/12.065053,75.933754/12.077667,75.930957/12.073266,75.927943/12.073571,75.933706/12.075193,75.935611/12.069371,75.925841/12.073571,75.932611/12.076331,75.930309/12.4244,75.7382", "Open Route")</f>
        <v/>
      </c>
    </row>
    <row r="79">
      <c r="A79" t="n">
        <v>39</v>
      </c>
      <c r="B79" t="inlineStr">
        <is>
          <t>Team 2</t>
        </is>
      </c>
      <c r="C79" t="n">
        <v>5</v>
      </c>
      <c r="D79">
        <f>HYPERLINK("https://www.google.com/maps/dir/12.4244,75.7382/12.2270254,75.7533201/12.2286963,75.7532205/12.227202,75.750049/12.215788,75.755001/12.216321,75.755682/12.4244,75.7382", "Open Route")</f>
        <v/>
      </c>
    </row>
    <row r="80">
      <c r="A80" t="n">
        <v>40</v>
      </c>
      <c r="B80" t="inlineStr">
        <is>
          <t>Team 1</t>
        </is>
      </c>
      <c r="C80" t="n">
        <v>10</v>
      </c>
      <c r="D80">
        <f>HYPERLINK("https://www.google.com/maps/dir/12.4244,75.7382/12.079773,75.915862/12.075242,75.920501/12.076822,75.919224/12.080489,75.917335/12.069514,75.914951/12.081635,75.914957/12.069873,75.915349/12.076082,75.898473/12.083172,75.918199/12.084261,75.917536/12.4244,75.7382", "Open Route")</f>
        <v/>
      </c>
    </row>
    <row r="81">
      <c r="A81" t="n">
        <v>40</v>
      </c>
      <c r="B81" t="inlineStr">
        <is>
          <t>Team 2</t>
        </is>
      </c>
      <c r="C81" t="n">
        <v>11</v>
      </c>
      <c r="D81">
        <f>HYPERLINK("https://www.google.com/maps/dir/12.4244,75.7382/12.220788,75.884682/12.224958,75.884061/12.217118,75.892141/12.221358,75.880446/12.218368,75.883889/12.223801,75.878851/12.22821,75.89783/12.216421,75.890885/12.229911,75.890151/12.214142,75.875145/12.219583,75.872651/12.4244,75.7382", "Open Route")</f>
        <v/>
      </c>
    </row>
    <row r="82">
      <c r="A82" t="n">
        <v>41</v>
      </c>
      <c r="B82" t="inlineStr">
        <is>
          <t>Team 1</t>
        </is>
      </c>
      <c r="C82" t="n">
        <v>11</v>
      </c>
      <c r="D82">
        <f>HYPERLINK("https://www.google.com/maps/dir/12.4244,75.7382/12.093234,76.028421/12.08318,76.029521/12.082218,76.026385/12.09107,76.033091/12.101894,76.034866/12.08449,76.028231/12.089958,76.026561/12.057171,76.027872/12.072949,76.046117/12.081963,76.038093/12.05745,76.039411/12.4244,75.7382", "Open Route")</f>
        <v/>
      </c>
    </row>
    <row r="83">
      <c r="A83" t="n">
        <v>41</v>
      </c>
      <c r="B83" t="inlineStr">
        <is>
          <t>Team 2</t>
        </is>
      </c>
      <c r="C83" t="n">
        <v>10</v>
      </c>
      <c r="D83">
        <f>HYPERLINK("https://www.google.com/maps/dir/12.4244,75.7382/12.22576,75.9581/12.21395,75.94935/12.21569,75.94822/12.21905,75.94772/12.21941,75.9539/12.21409,75.95144/12.222731,75.967661/12.21297,75.94661/12.21118,75.94855/12.205748,75.951561/12.4244,75.7382", "Open Route")</f>
        <v/>
      </c>
    </row>
    <row r="84">
      <c r="A84" t="n">
        <v>42</v>
      </c>
      <c r="B84" t="inlineStr">
        <is>
          <t>Team 1</t>
        </is>
      </c>
      <c r="C84" t="n">
        <v>14</v>
      </c>
      <c r="D84">
        <f>HYPERLINK("https://www.google.com/maps/dir/12.4244,75.7382/12.080839,75.949574/12.083981,75.946698/12.093158,75.949978/12.088421,75.953823/12.097378,75.951886/12.087576,75.952486/12.089477,75.950426/12.097308,75.949654/12.0962969,75.9525053/12.078158,75.954877/12.077908,75.957455/12.080573,75.960012/12.081434,75.955687/12.081903,75.962176/12.4244,75.7382", "Open Route")</f>
        <v/>
      </c>
    </row>
    <row r="85">
      <c r="A85" t="n">
        <v>42</v>
      </c>
      <c r="B85" t="inlineStr">
        <is>
          <t>Team 2</t>
        </is>
      </c>
      <c r="C85" t="n">
        <v>5</v>
      </c>
      <c r="D85">
        <f>HYPERLINK("https://www.google.com/maps/dir/12.4244,75.7382/12.221844,75.906611/12.212767,75.912044/12.212636,75.915056/12.208977,75.904719/12.211851,75.898307/12.4244,75.7382", "Open Route")</f>
        <v/>
      </c>
    </row>
    <row r="86">
      <c r="A86" t="n">
        <v>43</v>
      </c>
      <c r="B86" t="inlineStr">
        <is>
          <t>Team 1</t>
        </is>
      </c>
      <c r="C86" t="n">
        <v>13</v>
      </c>
      <c r="D86">
        <f>HYPERLINK("https://www.google.com/maps/dir/12.4244,75.7382/12.085529,75.980255/12.084622,75.981239/12.085234,75.983348/12.083234,75.98386/12.083842,75.97802/12.084696,75.98341/12.085198,75.98136/12.097109,75.982439/12.075799,75.973686/12.0842606,75.990425/12.088411,75.990968/12.098182,75.980182/12.095703,75.978801/12.4244,75.7382", "Open Route")</f>
        <v/>
      </c>
    </row>
    <row r="87">
      <c r="A87" t="n">
        <v>43</v>
      </c>
      <c r="B87" t="inlineStr">
        <is>
          <t>Team 2</t>
        </is>
      </c>
      <c r="C87" t="n">
        <v>11</v>
      </c>
      <c r="D87">
        <f>HYPERLINK("https://www.google.com/maps/dir/12.4244,75.7382/12.2076333,75.9819601/12.206338,75.976912/12.203442,75.980571/12.205194,75.976227/12.209231,75.988581/12.215329,75.987997/12.214847,75.985383/12.217071,75.981381/12.209285,75.980194/12.213002,75.978241/12.210863,75.978798/12.4244,75.7382", "Open Route")</f>
        <v/>
      </c>
    </row>
    <row r="88">
      <c r="A88" t="n">
        <v>44</v>
      </c>
      <c r="B88" t="inlineStr">
        <is>
          <t>Team 1</t>
        </is>
      </c>
      <c r="C88" t="n">
        <v>20</v>
      </c>
      <c r="D88">
        <f>HYPERLINK("https://www.google.com/maps/dir/12.4244,75.7382/12.086644,75.929604/12.084847,75.929953/12.085297,75.939596/12.084645,75.938309/12.08121,75.942757/12.092727,75.944763/12.0865336,75.936155/12.091512,75.935133/12.089022,75.941041/12.094825,75.935445/12.086341,75.936642/12.09174,75.935905/12.090631,75.935614/12.094929,75.937647/12.088198,75.926905/12.090535,75.936311/12.079711,75.941104/12.086889,75.928063/12.0848622,75.9296438/12.086052,75.941123/12.4244,75.7382", "Open Route")</f>
        <v/>
      </c>
    </row>
    <row r="89">
      <c r="A89" t="n">
        <v>44</v>
      </c>
      <c r="B89" t="inlineStr">
        <is>
          <t>Team 2</t>
        </is>
      </c>
      <c r="C89" t="n">
        <v>6</v>
      </c>
      <c r="D89">
        <f>HYPERLINK("https://www.google.com/maps/dir/12.4244,75.7382/12.211953,75.790132/12.197647,75.806761/12.206895,75.802281/12.203776,75.803165/12.205316,75.798742/12.20431,75.797876/12.4244,75.7382", "Open Route")</f>
        <v/>
      </c>
    </row>
    <row r="90">
      <c r="A90" t="n">
        <v>45</v>
      </c>
      <c r="B90" t="inlineStr">
        <is>
          <t>Team 1</t>
        </is>
      </c>
      <c r="C90" t="n">
        <v>7</v>
      </c>
      <c r="D90">
        <f>HYPERLINK("https://www.google.com/maps/dir/12.4244,75.7382/12.094702,75.920573/12.09697,75.910046/12.099526,75.911155/12.097176,75.915253/12.089484,75.914311/12.094352,75.916535/12.089967,75.913106/12.4244,75.7382", "Open Route")</f>
        <v/>
      </c>
    </row>
    <row r="91">
      <c r="A91" t="n">
        <v>45</v>
      </c>
      <c r="B91" t="inlineStr">
        <is>
          <t>Team 2</t>
        </is>
      </c>
      <c r="C91" t="n">
        <v>9</v>
      </c>
      <c r="D91">
        <f>HYPERLINK("https://www.google.com/maps/dir/12.4244,75.7382/12.211291,75.846861/12.211108,75.847297/12.213775,75.839873/12.205734,75.846193/12.200695,75.850503/12.199218,75.849918/12.207371,75.837008/12.193076,75.845037/12.1988,75.83266/12.4244,75.7382", "Open Route")</f>
        <v/>
      </c>
    </row>
    <row r="92">
      <c r="A92" t="n">
        <v>46</v>
      </c>
      <c r="B92" t="inlineStr">
        <is>
          <t>Team 1</t>
        </is>
      </c>
      <c r="C92" t="n">
        <v>9</v>
      </c>
      <c r="D92">
        <f>HYPERLINK("https://www.google.com/maps/dir/12.4244,75.7382/12.094355,76.044819/12.098654,76.055709/12.10003,76.046711/12.0992953,76.06038532/12.093911,76.042443/12.090509,76.044491/12.098803,76.040618/12.09013,76.043845/12.08701,76.051291/12.4244,75.7382", "Open Route")</f>
        <v/>
      </c>
    </row>
    <row r="93">
      <c r="A93" t="n">
        <v>46</v>
      </c>
      <c r="B93" t="inlineStr">
        <is>
          <t>Team 2</t>
        </is>
      </c>
      <c r="C93" t="n">
        <v>10</v>
      </c>
      <c r="D93">
        <f>HYPERLINK("https://www.google.com/maps/dir/12.4244,75.7382/12.202717,75.893942/12.200274,75.884801/12.200691,75.881951/12.199362,75.880182/12.200786,75.882369/12.197349,75.880102/12.198563,75.881177/12.210025,75.876873/12.209992,75.876846/12.209994,75.876894/12.4244,75.7382", "Open Route")</f>
        <v/>
      </c>
    </row>
    <row r="94">
      <c r="A94" t="n">
        <v>47</v>
      </c>
      <c r="B94" t="inlineStr">
        <is>
          <t>Team 1</t>
        </is>
      </c>
      <c r="C94" t="n">
        <v>5</v>
      </c>
      <c r="D94">
        <f>HYPERLINK("https://www.google.com/maps/dir/12.4244,75.7382/12.104951,76.007311/12.098931,76.01326/12.095618,76.001079/12.095951,76.002605/12.095874,76.003932/12.4244,75.7382", "Open Route")</f>
        <v/>
      </c>
    </row>
    <row r="95">
      <c r="A95" t="n">
        <v>47</v>
      </c>
      <c r="B95" t="inlineStr">
        <is>
          <t>Team 2</t>
        </is>
      </c>
      <c r="C95" t="n">
        <v>8</v>
      </c>
      <c r="D95">
        <f>HYPERLINK("https://www.google.com/maps/dir/12.4244,75.7382/12.20377,75.93533/12.20755,75.938896/12.1922138,75.93992293/12.200671,75.937291/12.194425,75.931626/12.20454,75.94168/12.20851,75.94334/12.20645,75.94175/12.4244,75.7382", "Open Route")</f>
        <v/>
      </c>
    </row>
    <row r="96">
      <c r="A96" t="n">
        <v>48</v>
      </c>
      <c r="B96" t="inlineStr">
        <is>
          <t>Team 1</t>
        </is>
      </c>
      <c r="C96" t="n">
        <v>13</v>
      </c>
      <c r="D96">
        <f>HYPERLINK("https://www.google.com/maps/dir/12.4244,75.7382/12.103392,75.846639/12.098034,75.859041/12.096659,75.869896/12.09767,75.86855/12.100544,75.846553/12.102916,75.85029/12.104449,75.855181/12.098354,75.854972/12.09704,75.868741/12.092019,75.870723/12.103855,75.843686/12.10386,75.84369/12.1039,75.8437/12.4244,75.7382", "Open Route")</f>
        <v/>
      </c>
    </row>
    <row r="97">
      <c r="A97" t="n">
        <v>48</v>
      </c>
      <c r="B97" t="inlineStr">
        <is>
          <t>Team 2</t>
        </is>
      </c>
      <c r="C97" t="n">
        <v>12</v>
      </c>
      <c r="D97">
        <f>HYPERLINK("https://www.google.com/maps/dir/12.4244,75.7382/12.196264,75.918238/12.195508,75.924992/12.192472,75.927719/12.201745,75.920761/12.207841,75.919682/12.201205,75.921866/12.203733,75.923101/12.201243,75.921409/12.206848,75.920485/12.206694,75.919194/12.202104,75.924096/12.203905,75.914211/12.4244,75.7382", "Open Route")</f>
        <v/>
      </c>
    </row>
    <row r="98">
      <c r="A98" t="n">
        <v>49</v>
      </c>
      <c r="B98" t="inlineStr">
        <is>
          <t>Team 1</t>
        </is>
      </c>
      <c r="C98" t="n">
        <v>23</v>
      </c>
      <c r="D98">
        <f>HYPERLINK("https://www.google.com/maps/dir/12.4244,75.7382/12.106307,75.89507/12.104823,75.892288/12.101018,75.890069/12.10219,75.89477/12.095851,75.886333/12.10536,75.8925/12.095854,75.886333/12.104051,75.892347/12.100853,75.889891/12.095855,75.886333/12.103271,75.89349/12.101706,75.89482/12.104558,75.89036/12.103474,75.90306/12.096274,75.886034/12.093384,75.88542/12.095852,75.886333/12.104226,75.901252/12.098023,75.894279/12.095853,75.886333/12.10329,75.89439/12.107311,75.892499/12.107867,75.892488/12.4244,75.7382", "Open Route")</f>
        <v/>
      </c>
    </row>
    <row r="99">
      <c r="A99" t="n">
        <v>49</v>
      </c>
      <c r="B99" t="inlineStr">
        <is>
          <t>Team 2</t>
        </is>
      </c>
      <c r="C99" t="n">
        <v>11</v>
      </c>
      <c r="D99">
        <f>HYPERLINK("https://www.google.com/maps/dir/12.4244,75.7382/12.200585,76.007597/12.203455,75.991123/12.197477,75.987155/12.197771,75.985042/12.192142,75.997104/12.196015,75.988671/12.199771,75.986004/12.188881,75.995298/12.20036,75.98289/12.203819,75.991374/12.191866,75.992335/12.4244,75.7382", "Open Route")</f>
        <v/>
      </c>
    </row>
    <row r="100">
      <c r="A100" t="n">
        <v>50</v>
      </c>
      <c r="B100" t="inlineStr">
        <is>
          <t>Team 1</t>
        </is>
      </c>
      <c r="C100" t="n">
        <v>17</v>
      </c>
      <c r="D100">
        <f>HYPERLINK("https://www.google.com/maps/dir/12.4244,75.7382/12.109045,75.927381/12.110262,75.928543/12.11002,75.932905/12.110623,75.932426/12.106954,75.93179/12.100859,75.933776/12.102152,75.933983/12.101693,75.93939/12.110584,75.931715/12.101168,75.938996/12.104805,75.935244/12.105194,75.934817/12.107881,75.930749/12.110008,75.933561/12.099978,75.93466/12.095239,75.927466/12.098016,75.929866/12.4244,75.7382", "Open Route")</f>
        <v/>
      </c>
    </row>
    <row r="101">
      <c r="A101" t="n">
        <v>50</v>
      </c>
      <c r="B101" t="inlineStr">
        <is>
          <t>Team 2</t>
        </is>
      </c>
      <c r="C101" t="n">
        <v>9</v>
      </c>
      <c r="D101">
        <f>HYPERLINK("https://www.google.com/maps/dir/12.4244,75.7382/12.192132,75.711381/12.191522,75.733555/12.19793,75.74613/12.192684,75.770047/12.192957,75.769586/12.183871,75.755189/12.208583,75.746894/12.20676,75.742364/12.197727,75.72045/12.4244,75.7382", "Open Route")</f>
        <v/>
      </c>
    </row>
    <row r="102">
      <c r="A102" t="n">
        <v>51</v>
      </c>
      <c r="B102" t="inlineStr">
        <is>
          <t>Team 1</t>
        </is>
      </c>
      <c r="C102" t="n">
        <v>14</v>
      </c>
      <c r="D102">
        <f>HYPERLINK("https://www.google.com/maps/dir/12.4244,75.7382/12.101103,75.91798/12.10412,75.924377/12.106124,75.916725/12.107686,75.915361/12.107544,75.914187/12.105723,75.917183/12.105743,75.917407/12.109706,75.914463/12.105381,75.924588/12.105078,75.923378/12.10667,75.920103/12.105979,75.921622/12.106647,75.912047/12.105204,75.923777/12.4244,75.7382", "Open Route")</f>
        <v/>
      </c>
    </row>
    <row r="103">
      <c r="A103" t="n">
        <v>51</v>
      </c>
      <c r="B103" t="inlineStr">
        <is>
          <t>Team 2</t>
        </is>
      </c>
      <c r="C103" t="n">
        <v>9</v>
      </c>
      <c r="D103">
        <f>HYPERLINK("https://www.google.com/maps/dir/12.4244,75.7382/12.182956,75.826455/12.193201,75.815352/12.192259,75.815035/12.193327,75.815314/12.198069,75.812556/12.199145,75.8133124/12.2057103,75.8190762/12.19521,75.8255946/12.19882,75.812907/12.4244,75.7382", "Open Route")</f>
        <v/>
      </c>
    </row>
    <row r="104">
      <c r="A104" t="n">
        <v>52</v>
      </c>
      <c r="B104" t="inlineStr">
        <is>
          <t>Team 1</t>
        </is>
      </c>
      <c r="C104" t="n">
        <v>7</v>
      </c>
      <c r="D104">
        <f>HYPERLINK("https://www.google.com/maps/dir/12.4244,75.7382/12.117329,75.995614/12.105822,75.998025/12.1073591,75.9926643/12.103592,75.991936/12.106077,75.996211/12.106289,75.999125/12.115033,75.9837671/12.4244,75.7382", "Open Route")</f>
        <v/>
      </c>
    </row>
    <row r="105">
      <c r="A105" t="n">
        <v>52</v>
      </c>
      <c r="B105" t="inlineStr">
        <is>
          <t>Team 2</t>
        </is>
      </c>
      <c r="C105" t="n">
        <v>9</v>
      </c>
      <c r="D105">
        <f>HYPERLINK("https://www.google.com/maps/dir/12.4244,75.7382/12.197541,75.952806/12.190664,75.951332/12.187606,75.963179/12.186359,75.960227/12.186411,75.95897/12.190005,75.968711/12.195004,75.968767/12.200939,75.965056/12.188159,75.959448/12.4244,75.7382", "Open Route")</f>
        <v/>
      </c>
    </row>
    <row r="106">
      <c r="A106" t="n">
        <v>53</v>
      </c>
      <c r="B106" t="inlineStr">
        <is>
          <t>Team 1</t>
        </is>
      </c>
      <c r="C106" t="n">
        <v>6</v>
      </c>
      <c r="D106">
        <f>HYPERLINK("https://www.google.com/maps/dir/12.4244,75.7382/12.110071,76.048608/12.118383,76.047957/12.105278,76.051672/12.108921,76.050388/12.106571,76.037693/12.117777,76.032938/12.4244,75.7382", "Open Route")</f>
        <v/>
      </c>
    </row>
    <row r="107">
      <c r="A107" t="n">
        <v>53</v>
      </c>
      <c r="B107" t="inlineStr">
        <is>
          <t>Team 2</t>
        </is>
      </c>
      <c r="C107" t="n">
        <v>15</v>
      </c>
      <c r="D107">
        <f>HYPERLINK("https://www.google.com/maps/dir/12.4244,75.7382/12.194277,75.896579/12.184322,75.903292/12.183712,75.892925/12.180099,75.915232/12.179807,75.915463/12.186076,75.903373/12.193285,75.906748/12.19006,75.90412/12.190364,75.914726/12.191185,75.911551/12.188168,75.905968/12.190212,75.909073/12.185159,75.921007/12.197982,75.899964/12.197794,75.899796/12.4244,75.7382", "Open Route")</f>
        <v/>
      </c>
    </row>
    <row r="108">
      <c r="A108" t="n">
        <v>54</v>
      </c>
      <c r="B108" t="inlineStr">
        <is>
          <t>Team 1</t>
        </is>
      </c>
      <c r="C108" t="n">
        <v>11</v>
      </c>
      <c r="D108">
        <f>HYPERLINK("https://www.google.com/maps/dir/12.4244,75.7382/12.118684,75.95385/12.114319,75.960472/12.106657,75.957388/12.110521,75.960301/12.107929,75.943691/12.110565,75.949464/12.111469,75.949762/12.107007,75.949937/12.113502,75.950394/12.110153,75.94957/12.121489,75.961059/12.4244,75.7382", "Open Route")</f>
        <v/>
      </c>
    </row>
    <row r="109">
      <c r="A109" t="n">
        <v>54</v>
      </c>
      <c r="B109" t="inlineStr">
        <is>
          <t>Team 2</t>
        </is>
      </c>
      <c r="C109" t="n">
        <v>8</v>
      </c>
      <c r="D109">
        <f>HYPERLINK("https://www.google.com/maps/dir/12.4244,75.7382/12.172181,76.023947/12.172783,76.040261/12.18306,76.018834/12.183728,76.020242/12.176122,76.044824/12.174782,76.034095/12.177066,76.052228/12.203462,76.027484/12.4244,75.7382", "Open Route")</f>
        <v/>
      </c>
    </row>
    <row r="110">
      <c r="A110" t="n">
        <v>55</v>
      </c>
      <c r="B110" t="inlineStr">
        <is>
          <t>Team 1</t>
        </is>
      </c>
      <c r="C110" t="n">
        <v>9</v>
      </c>
      <c r="D110">
        <f>HYPERLINK("https://www.google.com/maps/dir/12.4244,75.7382/12.127496,75.967683/12.1230635,75.97965/12.122621,75.975017/12.106538,75.978669/12.106364,75.974051/12.104137,75.968886/12.100866,75.971749/12.112811,75.966785/12.105805,75.963087/12.4244,75.7382", "Open Route")</f>
        <v/>
      </c>
    </row>
    <row r="111">
      <c r="A111" t="n">
        <v>55</v>
      </c>
      <c r="B111" t="inlineStr">
        <is>
          <t>Team 2</t>
        </is>
      </c>
      <c r="C111" t="n">
        <v>8</v>
      </c>
      <c r="D111">
        <f>HYPERLINK("https://www.google.com/maps/dir/12.4244,75.7382/12.174469,75.850943/12.175225,75.851453/12.180566,75.859317/12.175378,75.851379/12.186488,75.851078/12.168695,75.84992/12.170314,75.854728/12.190894,75.862655/12.4244,75.7382", "Open Route")</f>
        <v/>
      </c>
    </row>
    <row r="112">
      <c r="A112" t="n">
        <v>56</v>
      </c>
      <c r="B112" t="inlineStr">
        <is>
          <t>Team 1</t>
        </is>
      </c>
      <c r="C112" t="n">
        <v>10</v>
      </c>
      <c r="D112">
        <f>HYPERLINK("https://www.google.com/maps/dir/12.4244,75.7382/12.124778,76.071417/12.1165207,76.05929187/12.118402,76.057956/12.1020935,76.06198238/12.116985,76.068405/12.0989767,76.0681288/12.1230152,76.0702851/12.119837,76.066768/12.122171,76.064915/12.1007873,76.069244/12.4244,75.7382", "Open Route")</f>
        <v/>
      </c>
    </row>
    <row r="113">
      <c r="A113" t="n">
        <v>56</v>
      </c>
      <c r="B113" t="inlineStr">
        <is>
          <t>Team 2</t>
        </is>
      </c>
      <c r="C113" t="n">
        <v>16</v>
      </c>
      <c r="D113">
        <f>HYPERLINK("https://www.google.com/maps/dir/12.4244,75.7382/12.175811,75.964121/12.177996,75.968513/12.174806,75.970231/12.177693,75.968941/12.173768,75.966421/12.179057,75.967393/12.180442,75.963822/12.176133,75.965573/12.183729,75.960518/12.178335,75.975593/12.176068,75.973179/12.180727,75.961066/12.179381,75.961108/12.177599,75.971357/12.182065,75.962122/12.173056,75.959994/12.4244,75.7382", "Open Route")</f>
        <v/>
      </c>
    </row>
    <row r="114">
      <c r="A114" t="n">
        <v>57</v>
      </c>
      <c r="B114" t="inlineStr">
        <is>
          <t>Team 1</t>
        </is>
      </c>
      <c r="C114" t="n">
        <v>24</v>
      </c>
      <c r="D114">
        <f>HYPERLINK("https://www.google.com/maps/dir/12.4244,75.7382/12.112108,75.91506/12.111392,75.920286/12.117723,75.917472/12.114244,75.920182/12.113465,75.924783/12.113941,75.926268/12.111249,75.918781/12.115019,75.914704/12.117724,75.917472/12.119236,75.919281/12.117007,75.919236/12.112253,75.922839/12.114382,75.926991/12.111606,75.924987/12.116127,75.917808/12.112266,75.923167/12.116559,75.911009/12.115227,75.911272/12.116959,75.910377/12.113802,75.911812/12.114027,75.911358/12.117574,75.914568/12.120688,75.9122/12.116558,75.911008/12.4244,75.7382", "Open Route")</f>
        <v/>
      </c>
    </row>
    <row r="115">
      <c r="A115" t="n">
        <v>57</v>
      </c>
      <c r="B115" t="inlineStr">
        <is>
          <t>Team 2</t>
        </is>
      </c>
      <c r="C115" t="n">
        <v>18</v>
      </c>
      <c r="D115">
        <f>HYPERLINK("https://www.google.com/maps/dir/12.4244,75.7382/12.179139,75.988631/12.177612,75.987989/12.18389,76.00999/12.174664,76.007514/12.173448,76.004879/12.180821,75.994321/12.178581,75.999453/12.178055,76.000754/12.180192,75.990902/12.180724,75.985169/12.169844,75.992973/12.174012,75.992477/12.165775,75.994707/12.178441,75.992991/12.172836,75.991734/12.173951,75.992707/12.17971,75.993506/12.179601,75.982435/12.4244,75.7382", "Open Route")</f>
        <v/>
      </c>
    </row>
    <row r="116">
      <c r="A116" t="n">
        <v>58</v>
      </c>
      <c r="B116" t="inlineStr">
        <is>
          <t>Team 1</t>
        </is>
      </c>
      <c r="C116" t="n">
        <v>19</v>
      </c>
      <c r="D116">
        <f>HYPERLINK("https://www.google.com/maps/dir/12.4244,75.7382/12.115796,75.897726/12.115943,75.89792/12.114224,75.900645/12.1095721,75.895101/12.115761,75.893672/12.113378,75.898662/12.112565,75.898241/12.1139881,75.9007078/12.110738,75.894661/12.116264,75.89908/12.11788,75.89823/12.116292,75.898481/12.11633,75.89869/12.1164795,75.8991732/12.117852,75.897514/12.119327,75.893982/12.113551,75.902116/12.116973,75.901604/12.114005,75.901407/12.4244,75.7382", "Open Route")</f>
        <v/>
      </c>
    </row>
    <row r="117">
      <c r="A117" t="n">
        <v>58</v>
      </c>
      <c r="B117" t="inlineStr">
        <is>
          <t>Team 2</t>
        </is>
      </c>
      <c r="C117" t="n">
        <v>4</v>
      </c>
      <c r="D117">
        <f>HYPERLINK("https://www.google.com/maps/dir/12.4244,75.7382/12.170644,75.807834/12.171111,75.808654/12.18075,75.795102/12.180749,75.795102/12.4244,75.7382", "Open Route")</f>
        <v/>
      </c>
    </row>
    <row r="118">
      <c r="A118" t="n">
        <v>59</v>
      </c>
      <c r="B118" t="inlineStr">
        <is>
          <t>Team 1</t>
        </is>
      </c>
      <c r="C118" t="n">
        <v>17</v>
      </c>
      <c r="D118">
        <f>HYPERLINK("https://www.google.com/maps/dir/12.4244,75.7382/12.1123281,75.883463/12.115156,75.883789/12.118147,75.881672/12.116266,75.887218/12.113189,75.884898/12.115725,75.885251/12.116752,75.887229/12.115692,75.887824/12.115674,75.882973/12.1167309,75.882198/12.107277,75.880926/12.118458,75.881977/12.113896,75.884802/12.1205793,75.88499/12.117955,75.880328/12.115136,75.883485/12.118572,75.881847/12.4244,75.7382", "Open Route")</f>
        <v/>
      </c>
    </row>
    <row r="119">
      <c r="A119" t="n">
        <v>59</v>
      </c>
      <c r="B119" t="inlineStr">
        <is>
          <t>Team 2</t>
        </is>
      </c>
      <c r="C119" t="n">
        <v>6</v>
      </c>
      <c r="D119">
        <f>HYPERLINK("https://www.google.com/maps/dir/12.4244,75.7382/12.179538,75.874627/12.15897,75.87255/12.171487,75.879485/12.180627,75.866074/12.167942,75.872403/12.188024,75.872218/12.4244,75.7382", "Open Route")</f>
        <v/>
      </c>
    </row>
    <row r="120">
      <c r="A120" t="n">
        <v>60</v>
      </c>
      <c r="B120" t="inlineStr">
        <is>
          <t>Team 1</t>
        </is>
      </c>
      <c r="C120" t="n">
        <v>9</v>
      </c>
      <c r="D120">
        <f>HYPERLINK("https://www.google.com/maps/dir/12.4244,75.7382/12.113166,75.842773/12.120863,75.85369/12.112967,75.852432/12.112302,75.844067/12.117456,75.844444/12.1203646,75.8501529/12.116421,75.852166/12.118457,75.853885/12.1139,75.8534/12.4244,75.7382", "Open Route")</f>
        <v/>
      </c>
    </row>
    <row r="121">
      <c r="A121" t="n">
        <v>60</v>
      </c>
      <c r="B121" t="inlineStr">
        <is>
          <t>Team 2</t>
        </is>
      </c>
      <c r="C121" t="n">
        <v>21</v>
      </c>
      <c r="D121">
        <f>HYPERLINK("https://www.google.com/maps/dir/12.4244,75.7382/12.184487,75.926474/12.183818,75.929608/12.173618,75.932089/12.173616,75.932089/12.173617,75.932089/12.175761,75.931537/12.173615,75.932089/12.171919,75.9414787/12.170374,75.937928/12.172301,75.944651/12.171331,75.944496/12.177285,75.942324/12.175232,75.944966/12.163523,75.930846/12.162929,75.920861/12.172667,75.928042/12.173518,75.92666/12.17208,75.927828/12.173005,75.923577/12.172477,75.926452/12.169981,75.922529/12.4244,75.7382", "Open Route")</f>
        <v/>
      </c>
    </row>
    <row r="122">
      <c r="A122" t="n">
        <v>61</v>
      </c>
      <c r="B122" t="inlineStr">
        <is>
          <t>Team 1</t>
        </is>
      </c>
      <c r="C122" t="n">
        <v>9</v>
      </c>
      <c r="D122">
        <f>HYPERLINK("https://www.google.com/maps/dir/12.4244,75.7382/12.132285,75.869216/12.112742,75.86411/12.122112,75.87547/12.121435,75.87889/12.113031,75.86494/12.113022,75.869144/12.120611,75.875468/12.123021,75.87804/12.113106,75.8686293/12.4244,75.7382", "Open Route")</f>
        <v/>
      </c>
    </row>
    <row r="123">
      <c r="A123" t="n">
        <v>61</v>
      </c>
      <c r="B123" t="inlineStr">
        <is>
          <t>Team 2</t>
        </is>
      </c>
      <c r="C123" t="n">
        <v>14</v>
      </c>
      <c r="D123">
        <f>HYPERLINK("https://www.google.com/maps/dir/12.4244,75.7382/12.156306,75.979364/12.162566,75.975074/12.157139,75.978798/12.163046,75.975071/12.162194,75.97034/12.175718,75.983074/12.177177,75.981397/12.164246,75.989042/12.165355,75.991172/12.163519,75.982331/12.162689,75.976851/12.170486,75.979103/12.165162,75.974086/12.168979,75.980973/12.4244,75.7382", "Open Route")</f>
        <v/>
      </c>
    </row>
    <row r="124">
      <c r="A124" t="n">
        <v>62</v>
      </c>
      <c r="B124" t="inlineStr">
        <is>
          <t>Team 1</t>
        </is>
      </c>
      <c r="C124" t="n">
        <v>17</v>
      </c>
      <c r="D124">
        <f>HYPERLINK("https://www.google.com/maps/dir/12.4244,75.7382/12.12795,75.84784/12.12267,75.84662/12.12827,75.84789/12.128478,75.851219/12.126959,75.847383/12.126719,75.853371/12.12998,75.84653/12.125814,75.843165/12.125619,75.843141/12.12562,75.84161/12.127323,75.843351/12.118361,75.837691/12.1255746,75.8422051/12.126204,75.843165/12.12635,75.84281/12.126591,75.841241/12.12573,75.842767/12.4244,75.7382", "Open Route")</f>
        <v/>
      </c>
    </row>
    <row r="125">
      <c r="A125" t="n">
        <v>62</v>
      </c>
      <c r="B125" t="inlineStr">
        <is>
          <t>Team 2</t>
        </is>
      </c>
      <c r="C125" t="n">
        <v>10</v>
      </c>
      <c r="D125">
        <f>HYPERLINK("https://www.google.com/maps/dir/12.4244,75.7382/12.16771,75.837011/12.1637,75.835201/12.167709,75.837011/12.164175,75.838325/12.164176,75.838325/12.168293,75.840202/12.161398,75.832532/12.156692,75.823006/12.167661,75.837158/12.167712,75.837012/12.4244,75.7382", "Open Route")</f>
        <v/>
      </c>
    </row>
    <row r="126">
      <c r="A126" t="n">
        <v>63</v>
      </c>
      <c r="B126" t="inlineStr">
        <is>
          <t>Team 1</t>
        </is>
      </c>
      <c r="C126" t="n">
        <v>25</v>
      </c>
      <c r="D126">
        <f>HYPERLINK("https://www.google.com/maps/dir/12.4244,75.7382/12.132601,75.920731/12.132261,75.92156/12.13082,75.922512/12.12306,75.91965/12.126799,75.919068/12.125848,75.918241/12.125734,75.918225/12.131228,75.925979/12.125455,75.925184/12.12644,75.919608/12.125453,75.925176/12.128731,75.922652/12.121216,75.924368/12.125943,75.918156/12.121838,75.933634/12.132607,75.92219/12.132601,75.92073/12.121592,75.914054/12.130329,75.918561/12.124476,75.916646/12.124441,75.915419/12.124242,75.915215/12.127889,75.918561/12.12474,75.915834/12.122465,75.914377/12.4244,75.7382", "Open Route")</f>
        <v/>
      </c>
    </row>
    <row r="127">
      <c r="A127" t="n">
        <v>63</v>
      </c>
      <c r="B127" t="inlineStr">
        <is>
          <t>Team 2</t>
        </is>
      </c>
      <c r="C127" t="n">
        <v>17</v>
      </c>
      <c r="D127">
        <f>HYPERLINK("https://www.google.com/maps/dir/12.4244,75.7382/12.163559,75.953727/12.165238,75.953727/12.164031,75.953555/12.163302,75.962394/12.166352,75.958443/12.164865,75.957791/12.163934,75.961763/12.162131,75.963637/12.167061,75.957134/12.165812,75.958555/12.164715,75.963017/12.161707,75.963711/12.163345,75.962427/12.166435,75.95843/12.154844,75.952355/12.168521,75.964917/12.171699,75.952373/12.4244,75.7382", "Open Route")</f>
        <v/>
      </c>
    </row>
    <row r="128">
      <c r="A128" t="n">
        <v>64</v>
      </c>
      <c r="B128" t="inlineStr">
        <is>
          <t>Team 1</t>
        </is>
      </c>
      <c r="C128" t="n">
        <v>12</v>
      </c>
      <c r="D128">
        <f>HYPERLINK("https://www.google.com/maps/dir/12.4244,75.7382/12.137528,75.888867/12.125112,75.889833/12.133017,75.885946/12.126002,75.890931/12.124312,75.883044/12.12506,75.883981/12.1261011,75.890089/12.1254884,75.8906301/12.126117,75.89155/12.125713,75.8899/12.1279616,75.88629/12.1233764,75.8917861/12.4244,75.7382", "Open Route")</f>
        <v/>
      </c>
    </row>
    <row r="129">
      <c r="A129" t="n">
        <v>64</v>
      </c>
      <c r="B129" t="inlineStr">
        <is>
          <t>Team 2</t>
        </is>
      </c>
      <c r="C129" t="n">
        <v>15</v>
      </c>
      <c r="D129">
        <f>HYPERLINK("https://www.google.com/maps/dir/12.4244,75.7382/12.163901,75.716381/12.17257,75.72889/12.161659,75.724212/12.16375,75.72616/12.16935,75.71609/12.166037,75.725438/12.175524,75.727171/12.173171,75.732453/12.157371,75.723411/12.154715,75.720211/12.157281,75.723526/12.15621,75.74609/12.156746,75.722551/12.157701,75.722595/12.158528,75.721357/12.4244,75.7382", "Open Route")</f>
        <v/>
      </c>
    </row>
    <row r="130">
      <c r="A130" t="n">
        <v>65</v>
      </c>
      <c r="B130" t="inlineStr">
        <is>
          <t>Team 1</t>
        </is>
      </c>
      <c r="C130" t="n">
        <v>10</v>
      </c>
      <c r="D130">
        <f>HYPERLINK("https://www.google.com/maps/dir/12.4244,75.7382/12.128633,75.901125/12.128533,75.901125/12.1304653,75.899446/12.124685,75.901004/12.131916,75.906765/12.143202,75.90213/12.140881,75.896996/12.129235,75.898995/12.129391,75.898708/12.126886,75.898706/12.4244,75.7382", "Open Route")</f>
        <v/>
      </c>
    </row>
    <row r="131">
      <c r="A131" t="n">
        <v>65</v>
      </c>
      <c r="B131" t="inlineStr">
        <is>
          <t>Team 2</t>
        </is>
      </c>
      <c r="C131" t="n">
        <v>6</v>
      </c>
      <c r="D131">
        <f>HYPERLINK("https://www.google.com/maps/dir/12.4244,75.7382/12.154841,76.063477/12.15692,76.06219/12.159031,76.065015/12.157444,76.061431/12.164773,76.088221/12.1614171,76.07302165/12.4244,75.7382", "Open Route")</f>
        <v/>
      </c>
    </row>
    <row r="132">
      <c r="A132" t="n">
        <v>66</v>
      </c>
      <c r="B132" t="inlineStr">
        <is>
          <t>Team 1</t>
        </is>
      </c>
      <c r="C132" t="n">
        <v>24</v>
      </c>
      <c r="D132">
        <f>HYPERLINK("https://www.google.com/maps/dir/12.4244,75.7382/12.139357,75.954817/12.123584,75.937489/12.145653,75.948319/12.14402,75.95345/12.145697,75.948761/12.138269,75.944099/12.133887,75.945859/12.135139,75.943755/12.133223,75.945334/12.130254,75.943524/12.132515,75.950595/12.121242,75.938462/12.129058,75.951271/12.125527,75.950894/12.124303,75.949983/12.131868,75.949451/12.129124,75.950711/12.125577,75.955858/12.130789,75.95126/12.135138,75.943755/12.134813,75.940817/12.134943,75.943614/12.139941,75.946851/12.133717,75.947512/12.4244,75.7382", "Open Route")</f>
        <v/>
      </c>
    </row>
    <row r="133">
      <c r="A133" t="n">
        <v>66</v>
      </c>
      <c r="B133" t="inlineStr">
        <is>
          <t>Team 2</t>
        </is>
      </c>
      <c r="C133" t="n">
        <v>15</v>
      </c>
      <c r="D133">
        <f>HYPERLINK("https://www.google.com/maps/dir/12.4244,75.7382/12.162414,75.791106/12.162618,75.794159/12.152848,75.791726/12.1665962,75.7911063/12.1673312,75.7918329/12.15659,75.788094/12.157011,75.789299/12.156648,75.789529/12.15658,75.788094/12.15431,75.786686/12.160792,75.785401/12.159963,75.786474/12.156685,75.7887/12.15228,75.76476/12.162932,75.785191/12.4244,75.7382", "Open Route")</f>
        <v/>
      </c>
    </row>
    <row r="134">
      <c r="A134" t="n">
        <v>67</v>
      </c>
      <c r="B134" t="inlineStr">
        <is>
          <t>Team 1</t>
        </is>
      </c>
      <c r="C134" t="n">
        <v>5</v>
      </c>
      <c r="D134">
        <f>HYPERLINK("https://www.google.com/maps/dir/12.4244,75.7382/12.136307,75.839615/12.129554,75.83856/12.132692,75.8365581/12.136199,75.83937/12.135002,75.834314/12.4244,75.7382", "Open Route")</f>
        <v/>
      </c>
    </row>
    <row r="135">
      <c r="A135" t="n">
        <v>67</v>
      </c>
      <c r="B135" t="inlineStr">
        <is>
          <t>Team 2</t>
        </is>
      </c>
      <c r="C135" t="n">
        <v>8</v>
      </c>
      <c r="D135">
        <f>HYPERLINK("https://www.google.com/maps/dir/12.4244,75.7382/12.15015,75.7965554/12.148308,75.799031/12.152044,75.7994615/12.158801,75.806666/12.158061,75.804221/12.157981,75.808786/12.1641676,75.7980085/12.1596741,75.798735/12.4244,75.7382", "Open Route")</f>
        <v/>
      </c>
    </row>
    <row r="136">
      <c r="A136" t="n">
        <v>68</v>
      </c>
      <c r="B136" t="inlineStr">
        <is>
          <t>Team 1</t>
        </is>
      </c>
      <c r="C136" t="n">
        <v>7</v>
      </c>
      <c r="D136">
        <f>HYPERLINK("https://www.google.com/maps/dir/12.4244,75.7382/12.14023,76.050828/12.1543203,76.0462621/12.130745,76.057895/12.1366476,76.04585987/12.132045,76.051921/12.136078,76.053451/12.129504,76.055022/12.4244,75.7382", "Open Route")</f>
        <v/>
      </c>
    </row>
    <row r="137">
      <c r="A137" t="n">
        <v>68</v>
      </c>
      <c r="B137" t="inlineStr">
        <is>
          <t>Team 2</t>
        </is>
      </c>
      <c r="C137" t="n">
        <v>28</v>
      </c>
      <c r="D137">
        <f>HYPERLINK("https://www.google.com/maps/dir/12.4244,75.7382/12.158227,75.937114/12.154246,75.931977/12.153358,75.931989/12.159065,75.940963/12.156081,75.934581/12.153406,75.941101/12.14706,75.94574/12.150829,75.936721/12.152916,75.941758/12.151689,75.943946/12.153661,75.941657/12.153035,75.943168/12.156654,75.944968/12.154493,75.938737/12.152527,75.937397/12.153614,75.939138/12.154485,75.940314/12.153929,75.938788/12.154183,75.94056/12.156926,75.93972/12.156924,75.93972/12.157073,75.940452/12.159618,75.938376/12.157383,75.933167/12.159817,75.935461/12.159496,75.93674/12.15996,75.937858/12.160124,75.93844/12.4244,75.7382", "Open Route")</f>
        <v/>
      </c>
    </row>
    <row r="138">
      <c r="A138" t="n">
        <v>69</v>
      </c>
      <c r="B138" t="inlineStr">
        <is>
          <t>Team 1</t>
        </is>
      </c>
      <c r="C138" t="n">
        <v>12</v>
      </c>
      <c r="D138">
        <f>HYPERLINK("https://www.google.com/maps/dir/12.4244,75.7382/12.146821,76.016743/12.143933,76.031829/12.145294,76.030912/12.141543,76.002621/12.135325,76.002269/12.141114,76.004168/12.136503,76.004975/12.140259,76.016027/12.137764,76.008921/12.1263161,76.0112929/12.125329,76.012181/12.128306,76.013358/12.4244,75.7382", "Open Route")</f>
        <v/>
      </c>
    </row>
    <row r="139">
      <c r="A139" t="n">
        <v>69</v>
      </c>
      <c r="B139" t="inlineStr">
        <is>
          <t>Team 2</t>
        </is>
      </c>
      <c r="C139" t="n">
        <v>9</v>
      </c>
      <c r="D139">
        <f>HYPERLINK("https://www.google.com/maps/dir/12.4244,75.7382/12.156441,76.016031/12.162597,75.999108/12.152706,75.998751/12.152828,76.001306/12.151544,75.996131/12.148599,76.000718/12.157399,75.995843/12.157338,75.992857/12.156356,75.998301/12.4244,75.7382", "Open Route")</f>
        <v/>
      </c>
    </row>
    <row r="140">
      <c r="A140" t="n">
        <v>70</v>
      </c>
      <c r="B140" t="inlineStr">
        <is>
          <t>Team 1</t>
        </is>
      </c>
      <c r="C140" t="n">
        <v>12</v>
      </c>
      <c r="D140">
        <f>HYPERLINK("https://www.google.com/maps/dir/12.4244,75.7382/12.148761,75.913939/12.142147,75.905108/12.138664,75.919138/12.13825,75.91968/12.143317,75.917107/12.138807,75.912421/12.138051,75.91027/12.13824,75.914197/12.1348916,75.9197705/12.135038,75.919113/12.143108,75.918169/12.138083,75.9195/12.4244,75.7382", "Open Route")</f>
        <v/>
      </c>
    </row>
    <row r="141">
      <c r="A141" t="n">
        <v>70</v>
      </c>
      <c r="B141" t="inlineStr">
        <is>
          <t>Team 2</t>
        </is>
      </c>
      <c r="C141" t="n">
        <v>7</v>
      </c>
      <c r="D141">
        <f>HYPERLINK("https://www.google.com/maps/dir/12.4244,75.7382/12.148606,75.907/12.151244,75.903315/12.153759,75.902251/12.153021,75.901467/12.156144,75.901334/12.150306,75.889771/12.169806,75.894533/12.4244,75.7382", "Open Route")</f>
        <v/>
      </c>
    </row>
    <row r="142">
      <c r="A142" t="n">
        <v>71</v>
      </c>
      <c r="B142" t="inlineStr">
        <is>
          <t>Team 1</t>
        </is>
      </c>
      <c r="C142" t="n">
        <v>11</v>
      </c>
      <c r="D142">
        <f>HYPERLINK("https://www.google.com/maps/dir/12.4244,75.7382/12.147219,75.986057/12.148181,75.990405/12.142855,75.997485/12.146407,75.982751/12.140382,75.978415/12.130902,75.974693/12.127254,75.989402/12.139278,75.992992/12.133971,75.9886407/12.146549,75.979273/12.143083,75.985224/12.4244,75.7382", "Open Route")</f>
        <v/>
      </c>
    </row>
    <row r="143">
      <c r="A143" t="n">
        <v>71</v>
      </c>
      <c r="B143" t="inlineStr">
        <is>
          <t>Team 2</t>
        </is>
      </c>
      <c r="C143" t="n">
        <v>4</v>
      </c>
      <c r="D143">
        <f>HYPERLINK("https://www.google.com/maps/dir/12.4244,75.7382/12.144742,75.855854/12.14492,75.855457/12.14983,75.855283/12.148485,75.852191/12.4244,75.7382", "Open Route")</f>
        <v/>
      </c>
    </row>
    <row r="144">
      <c r="A144" t="n">
        <v>72</v>
      </c>
      <c r="B144" t="inlineStr">
        <is>
          <t>Team 1</t>
        </is>
      </c>
      <c r="C144" t="n">
        <v>11</v>
      </c>
      <c r="D144">
        <f>HYPERLINK("https://www.google.com/maps/dir/12.4244,75.7382/12.143299,75.927118/12.143298,75.927119/12.1433,75.92718/12.145498,75.937249/12.150069,75.934435/12.143781,75.944224/12.142993,75.941062/12.144421,75.944344/12.140805,75.927684/12.141695,75.929988/12.146697,75.938522/12.4244,75.7382", "Open Route")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2026-05-31T09:30:41Z</dcterms:created>
  <dcterms:modified xmlns:dcterms="http://purl.org/dc/terms/" xmlns:xsi="http://www.w3.org/2001/XMLSchema-instance" xsi:type="dcterms:W3CDTF">2026-05-31T09:30:41Z</dcterms:modified>
</cp:coreProperties>
</file>