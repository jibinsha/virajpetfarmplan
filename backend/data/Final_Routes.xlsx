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Team</t>
        </is>
      </c>
      <c r="C1" s="1" t="inlineStr">
        <is>
          <t>Stops</t>
        </is>
      </c>
      <c r="D1" s="1" t="inlineStr">
        <is>
          <t>Route_Link</t>
        </is>
      </c>
    </row>
    <row r="2">
      <c r="A2" t="n">
        <v>1</v>
      </c>
      <c r="B2" t="inlineStr">
        <is>
          <t>Team 1</t>
        </is>
      </c>
      <c r="C2" t="n">
        <v>7</v>
      </c>
      <c r="D2">
        <f>HYPERLINK("https://www.google.com/maps/dir/12.4244,75.7382/12.2421644,75.7097083/12.240574,75.719542/12.226263,75.705648/12.212749,75.684119/12.215579,75.709182/12.225626,75.719645/12.226335,75.733178/12.4244,75.7382", "Open Route")</f>
        <v/>
      </c>
    </row>
    <row r="3">
      <c r="A3" t="n">
        <v>1</v>
      </c>
      <c r="B3" t="inlineStr">
        <is>
          <t>Team 2</t>
        </is>
      </c>
      <c r="C3" t="n">
        <v>7</v>
      </c>
      <c r="D3">
        <f>HYPERLINK("https://www.google.com/maps/dir/12.4244,75.7382/12.78985,75.874813/12.735073,75.925113/12.731538,75.932258/12.730012,75.933429/12.729488,75.932301/12.749985,75.931081/12.729568,75.925409/12.4244,75.7382", "Open Route")</f>
        <v/>
      </c>
    </row>
    <row r="4">
      <c r="A4" t="n">
        <v>2</v>
      </c>
      <c r="B4" t="inlineStr">
        <is>
          <t>Team 1</t>
        </is>
      </c>
      <c r="C4" t="n">
        <v>10</v>
      </c>
      <c r="D4">
        <f>HYPERLINK("https://www.google.com/maps/dir/12.4244,75.7382/12.20478,75.65735/12.223995,75.6506817/12.236619,75.649171/12.23317,75.64117/12.231854,75.629385/12.236709,75.641721/12.230927,75.629191/12.239181,75.639271/12.237035,75.645636/12.238558,75.644202/12.4244,75.7382", "Open Route")</f>
        <v/>
      </c>
    </row>
    <row r="5">
      <c r="A5" t="n">
        <v>2</v>
      </c>
      <c r="B5" t="inlineStr">
        <is>
          <t>Team 2</t>
        </is>
      </c>
      <c r="C5" t="n">
        <v>10</v>
      </c>
      <c r="D5">
        <f>HYPERLINK("https://www.google.com/maps/dir/12.4244,75.7382/12.7031862,75.8932301/12.701849,75.895535/12.7006435,75.892252/12.703776,75.89327/12.72409,75.899343/12.70386,75.92416/12.700881,75.896072/12.7021517,75.8962885/12.706556,75.89862/12.7044193,75.892933/12.4244,75.7382", "Open Route")</f>
        <v/>
      </c>
    </row>
    <row r="6">
      <c r="A6" t="n">
        <v>3</v>
      </c>
      <c r="B6" t="inlineStr">
        <is>
          <t>Team 1</t>
        </is>
      </c>
      <c r="C6" t="n">
        <v>4</v>
      </c>
      <c r="D6">
        <f>HYPERLINK("https://www.google.com/maps/dir/12.4244,75.7382/12.239644,75.632947/12.245055,75.619275/12.246268,75.624717/12.248608,75.624332/12.4244,75.7382", "Open Route")</f>
        <v/>
      </c>
    </row>
    <row r="7">
      <c r="A7" t="n">
        <v>3</v>
      </c>
      <c r="B7" t="inlineStr">
        <is>
          <t>Team 2</t>
        </is>
      </c>
      <c r="C7" t="n">
        <v>4</v>
      </c>
      <c r="D7">
        <f>HYPERLINK("https://www.google.com/maps/dir/12.4244,75.7382/12.6040417,75.9192063/12.625255,75.859651/12.6065749,75.8651363/12.5987712,75.8501913/12.4244,75.7382", "Open Route")</f>
        <v/>
      </c>
    </row>
    <row r="8">
      <c r="A8" t="n">
        <v>4</v>
      </c>
      <c r="B8" t="inlineStr">
        <is>
          <t>Team 1</t>
        </is>
      </c>
      <c r="C8" t="n">
        <v>13</v>
      </c>
      <c r="D8">
        <f>HYPERLINK("https://www.google.com/maps/dir/12.4244,75.7382/12.237561,75.68452/12.252174,75.675419/12.242847,75.674269/12.252721,75.675499/12.237011,75.664875/12.253749,75.675839/12.252885,75.675935/12.250459,75.674651/12.238192,75.661461/12.244327,75.663333/12.241131,75.659366/12.242552,75.661616/12.233109,75.661924/12.4244,75.7382", "Open Route")</f>
        <v/>
      </c>
    </row>
    <row r="9">
      <c r="A9" t="n">
        <v>4</v>
      </c>
      <c r="B9" t="inlineStr">
        <is>
          <t>Team 2</t>
        </is>
      </c>
      <c r="C9" t="n">
        <v>11</v>
      </c>
      <c r="D9">
        <f>HYPERLINK("https://www.google.com/maps/dir/12.4244,75.7382/12.55302,75.80125/12.55277,75.80167/12.548943,75.796952/12.55415,75.79531/12.549567,75.816535/12.549566,75.816534/12.591149,75.789578/12.65148,75.79527/12.6303948,75.8097012/12.580997,75.807531/12.56323,75.76832/12.4244,75.7382", "Open Route")</f>
        <v/>
      </c>
    </row>
    <row r="10">
      <c r="A10" t="n">
        <v>5</v>
      </c>
      <c r="B10" t="inlineStr">
        <is>
          <t>Team 1</t>
        </is>
      </c>
      <c r="C10" t="n">
        <v>18</v>
      </c>
      <c r="D10">
        <f>HYPERLINK("https://www.google.com/maps/dir/12.4244,75.7382/12.253001,75.640488/12.251293,75.644641/12.254344,75.646444/12.247851,75.644058/12.243986,75.646893/12.243917,75.649356/12.246753,75.647068/12.245424,75.649551/12.244271,75.647111/12.242497,75.650081/12.245053,75.652266/12.244595,75.654401/12.236971,75.651171/12.244595,75.654862/12.244477,75.648305/12.248231,75.646392/12.240632,75.644818/12.257957,75.643751/12.4244,75.7382", "Open Route")</f>
        <v/>
      </c>
    </row>
    <row r="11">
      <c r="A11" t="n">
        <v>5</v>
      </c>
      <c r="B11" t="inlineStr">
        <is>
          <t>Team 2</t>
        </is>
      </c>
      <c r="C11" t="n">
        <v>4</v>
      </c>
      <c r="D11">
        <f>HYPERLINK("https://www.google.com/maps/dir/12.4244,75.7382/12.576079,75.839973/12.572556,75.847338/12.561227,75.82786/12.56105,75.827965/12.4244,75.7382", "Open Route")</f>
        <v/>
      </c>
    </row>
    <row r="12">
      <c r="A12" t="n">
        <v>6</v>
      </c>
      <c r="B12" t="inlineStr">
        <is>
          <t>Team 1</t>
        </is>
      </c>
      <c r="C12" t="n">
        <v>6</v>
      </c>
      <c r="D12">
        <f>HYPERLINK("https://www.google.com/maps/dir/12.4244,75.7382/12.252608,75.628919/12.260511,75.634133/12.251605,75.634506/12.252433,75.628829/12.255727,75.617775/12.258155,75.620821/12.4244,75.7382", "Open Route")</f>
        <v/>
      </c>
    </row>
    <row r="13">
      <c r="A13" t="n">
        <v>6</v>
      </c>
      <c r="B13" t="inlineStr">
        <is>
          <t>Team 2</t>
        </is>
      </c>
      <c r="C13" t="n">
        <v>5</v>
      </c>
      <c r="D13">
        <f>HYPERLINK("https://www.google.com/maps/dir/12.4244,75.7382/12.52833363,75.842139/12.53236,75.85079/12.532422,75.848473/12.532531,75.849186/12.521988,75.837639/12.4244,75.7382", "Open Route")</f>
        <v/>
      </c>
    </row>
    <row r="14">
      <c r="A14" t="n">
        <v>7</v>
      </c>
      <c r="B14" t="inlineStr">
        <is>
          <t>Team 1</t>
        </is>
      </c>
      <c r="C14" t="n">
        <v>30</v>
      </c>
      <c r="D14">
        <f>HYPERLINK("https://www.google.com/maps/dir/12.4244,75.7382/12.271127,75.657706/12.265309,75.651135/12.263711,75.656238/12.263486,75.654037/12.268949,75.660206/12.264044,75.658463/12.260878,75.644558/12.268423,75.659463/12.269452,75.661483/12.272573,75.657118/12.270383,75.651685/12.270651,75.657573/12.267224,75.655795/12.257757,75.653555/12.259881,75.647771/12.262491,75.655452/12.272471,75.658968/12.265591,75.654521/12.269911,75.657391/12.270673,75.657577/12.260744,75.657995/12.267631,75.658763/12.265641,75.655505/12.269759,75.651551/12.257691,75.653455/12.264366,75.6548115/12.269077,75.654387/12.273318,75.660928/12.259022,75.653954/12.264756,75.653572/12.4244,75.7382", "Open Route")</f>
        <v/>
      </c>
    </row>
    <row r="15">
      <c r="A15" t="n">
        <v>7</v>
      </c>
      <c r="B15" t="inlineStr">
        <is>
          <t>Team 2</t>
        </is>
      </c>
      <c r="C15" t="n">
        <v>6</v>
      </c>
      <c r="D15">
        <f>HYPERLINK("https://www.google.com/maps/dir/12.4244,75.7382/12.515786,75.799454/12.514214,75.803119/12.5274568,75.7875404/12.527254,75.794375/12.525922,75.795242/12.522966,75.787018/12.4244,75.7382", "Open Route")</f>
        <v/>
      </c>
    </row>
    <row r="16">
      <c r="A16" t="n">
        <v>8</v>
      </c>
      <c r="B16" t="inlineStr">
        <is>
          <t>Team 1</t>
        </is>
      </c>
      <c r="C16" t="n">
        <v>13</v>
      </c>
      <c r="D16">
        <f>HYPERLINK("https://www.google.com/maps/dir/12.4244,75.7382/12.263978,75.687393/12.279841,75.691803/12.275391,75.664385/12.272385,75.668583/12.266563,75.671231/12.272082,75.666811/12.266271,75.668801/12.279133,75.675713/12.276598,75.675813/12.288274,75.666858/12.279187,75.675679/12.278755,75.673732/12.2858122,75.6711736/12.4244,75.7382", "Open Route")</f>
        <v/>
      </c>
    </row>
    <row r="17">
      <c r="A17" t="n">
        <v>8</v>
      </c>
      <c r="B17" t="inlineStr">
        <is>
          <t>Team 2</t>
        </is>
      </c>
      <c r="C17" t="n">
        <v>7</v>
      </c>
      <c r="D17">
        <f>HYPERLINK("https://www.google.com/maps/dir/12.4244,75.7382/12.506377,75.756716/12.514766,75.750245/12.515203,75.750306/12.515121,75.750645/12.513835,75.751928/12.5236035,75.7405932/12.51571,75.7504436/12.4244,75.7382", "Open Route")</f>
        <v/>
      </c>
    </row>
    <row r="18">
      <c r="A18" t="n">
        <v>9</v>
      </c>
      <c r="B18" t="inlineStr">
        <is>
          <t>Team 1</t>
        </is>
      </c>
      <c r="C18" t="n">
        <v>15</v>
      </c>
      <c r="D18">
        <f>HYPERLINK("https://www.google.com/maps/dir/12.4244,75.7382/12.289228,75.651289/12.274958,75.649227/12.276243,75.654358/12.279231,75.650509/12.27885,75.651357/12.272892,75.646659/12.2761268,75.6529934/12.276177,75.650095/12.277715,75.651586/12.275682,75.642055/12.276269,75.64538/12.274349,75.640409/12.275351,75.641648/12.279781,75.639021/12.274803,75.635756/12.4244,75.7382", "Open Route")</f>
        <v/>
      </c>
    </row>
    <row r="19">
      <c r="A19" t="n">
        <v>9</v>
      </c>
      <c r="B19" t="inlineStr">
        <is>
          <t>Team 2</t>
        </is>
      </c>
      <c r="C19" t="n">
        <v>9</v>
      </c>
      <c r="D19">
        <f>HYPERLINK("https://www.google.com/maps/dir/12.4244,75.7382/12.515891,75.704521/12.506732,75.707105/12.517153,75.703745/12.5063841,75.7078851/12.501482,75.709671/12.498835,75.706555/12.499202,75.706657/12.498876,75.706893/12.499775,75.722935/12.4244,75.7382", "Open Route")</f>
        <v/>
      </c>
    </row>
    <row r="20">
      <c r="A20" t="n">
        <v>10</v>
      </c>
      <c r="B20" t="inlineStr">
        <is>
          <t>Team 1</t>
        </is>
      </c>
      <c r="C20" t="n">
        <v>4</v>
      </c>
      <c r="D20">
        <f>HYPERLINK("https://www.google.com/maps/dir/12.4244,75.7382/12.29182,75.738366/12.28273,75.750613/12.28491,75.750382/12.294233,75.761033/12.4244,75.7382", "Open Route")</f>
        <v/>
      </c>
    </row>
    <row r="21">
      <c r="A21" t="n">
        <v>10</v>
      </c>
      <c r="B21" t="inlineStr">
        <is>
          <t>Team 2</t>
        </is>
      </c>
      <c r="C21" t="n">
        <v>8</v>
      </c>
      <c r="D21">
        <f>HYPERLINK("https://www.google.com/maps/dir/12.4244,75.7382/12.493875,75.81303/12.494295,75.813526/12.497298,75.811484/12.495948,75.815178/12.508289,75.831714/12.493799,75.835784/12.4882127,75.833661/12.486025,75.824623/12.4244,75.7382", "Open Route")</f>
        <v/>
      </c>
    </row>
    <row r="22">
      <c r="A22" t="n">
        <v>11</v>
      </c>
      <c r="B22" t="inlineStr">
        <is>
          <t>Team 1</t>
        </is>
      </c>
      <c r="C22" t="n">
        <v>4</v>
      </c>
      <c r="D22">
        <f>HYPERLINK("https://www.google.com/maps/dir/12.4244,75.7382/12.294,75.7145/12.31786,75.720266/12.295115,75.705542/12.302372,75.703018/12.4244,75.7382", "Open Route")</f>
        <v/>
      </c>
    </row>
    <row r="23">
      <c r="A23" t="n">
        <v>11</v>
      </c>
      <c r="B23" t="inlineStr">
        <is>
          <t>Team 2</t>
        </is>
      </c>
      <c r="C23" t="n">
        <v>11</v>
      </c>
      <c r="D23">
        <f>HYPERLINK("https://www.google.com/maps/dir/12.4244,75.7382/12.497423,75.759549/12.498231,75.759348/12.489468,75.772405/12.492166,75.771472/12.490547,75.766857/12.491666,75.772582/12.495693,75.767892/12.492576,75.765788/12.497458,75.759203/12.497349,75.758298/12.486433,75.75581/12.4244,75.7382", "Open Route")</f>
        <v/>
      </c>
    </row>
    <row r="24">
      <c r="A24" t="n">
        <v>12</v>
      </c>
      <c r="B24" t="inlineStr">
        <is>
          <t>Team 1</t>
        </is>
      </c>
      <c r="C24" t="n">
        <v>13</v>
      </c>
      <c r="D24">
        <f>HYPERLINK("https://www.google.com/maps/dir/12.4244,75.7382/12.306394,75.684277/12.304971,75.683864/12.302168,75.676991/12.298631,75.670627/12.298634,75.670626/12.298603,75.670622/12.298602,75.670611/12.311454,75.687059/12.311459,75.687068/12.306622,75.687961/12.308528,75.68835/12.307027,75.68772/12.307028,75.68772/12.4244,75.7382", "Open Route")</f>
        <v/>
      </c>
    </row>
    <row r="25">
      <c r="A25" t="n">
        <v>12</v>
      </c>
      <c r="B25" t="inlineStr">
        <is>
          <t>Team 2</t>
        </is>
      </c>
      <c r="C25" t="n">
        <v>17</v>
      </c>
      <c r="D25">
        <f>HYPERLINK("https://www.google.com/maps/dir/12.4244,75.7382/12.48932,75.84393/12.477017,75.848841/12.48424,75.84684/12.47868,75.85921/12.47647,75.859481/12.47871,75.86181/12.477222,75.860227/12.49143,75.856289/12.492727,75.856632/12.49128,75.856087/12.492131,75.855431/12.491485,75.855712/12.48993,75.85732/12.4928419,75.8565868/12.480855,75.872122/12.521486,75.893551/12.490289,75.843934/12.4244,75.7382", "Open Route")</f>
        <v/>
      </c>
    </row>
    <row r="26">
      <c r="A26" t="n">
        <v>13</v>
      </c>
      <c r="B26" t="inlineStr">
        <is>
          <t>Team 1</t>
        </is>
      </c>
      <c r="C26" t="n">
        <v>8</v>
      </c>
      <c r="D26">
        <f>HYPERLINK("https://www.google.com/maps/dir/12.4244,75.7382/12.303052,75.644628/12.300646,75.64961/12.303051,75.644628/12.327116,75.615244/12.327114,75.615244/12.295147,75.634042/12.300355,75.629901/12.300698,75.650463/12.4244,75.7382", "Open Route")</f>
        <v/>
      </c>
    </row>
    <row r="27">
      <c r="A27" t="n">
        <v>13</v>
      </c>
      <c r="B27" t="inlineStr">
        <is>
          <t>Team 2</t>
        </is>
      </c>
      <c r="C27" t="n">
        <v>13</v>
      </c>
      <c r="D27">
        <f>HYPERLINK("https://www.google.com/maps/dir/12.4244,75.7382/12.462523,75.723002/12.475392,75.717399/12.47885,75.712753/12.478174,75.7155/12.484114,75.711273/12.485681,75.711994/12.485639,75.711993/12.474468,75.71952/12.47894,75.736509/12.4754168,75.721175/12.4752439,75.720686/12.475527,75.722378/12.4738769,75.7371058/12.4244,75.7382", "Open Route")</f>
        <v/>
      </c>
    </row>
    <row r="28">
      <c r="A28" t="n">
        <v>14</v>
      </c>
      <c r="B28" t="inlineStr">
        <is>
          <t>Team 1</t>
        </is>
      </c>
      <c r="C28" t="n">
        <v>10</v>
      </c>
      <c r="D28">
        <f>HYPERLINK("https://www.google.com/maps/dir/12.4244,75.7382/12.30902,75.8559/12.307099,75.851318/12.30772222,75.861/12.319615,75.851046/12.310602,75.855599/12.314531,75.85987/12.31471,75.859884/12.314663,75.859666/12.305583,75.8598159/12.307723,75.864964/12.4244,75.7382", "Open Route")</f>
        <v/>
      </c>
    </row>
    <row r="29">
      <c r="A29" t="n">
        <v>14</v>
      </c>
      <c r="B29" t="inlineStr">
        <is>
          <t>Team 2</t>
        </is>
      </c>
      <c r="C29" t="n">
        <v>24</v>
      </c>
      <c r="D29">
        <f>HYPERLINK("https://www.google.com/maps/dir/12.4244,75.7382/12.485933,75.776099/12.485515,75.775689/12.486291,75.776473/12.486495,75.776153/12.487121,75.794691/12.4873674,75.7939488/12.475896,75.788266/12.47007,75.779872/12.473267,75.771295/12.46857,75.77643/12.473438,75.77171/12.47224,75.776581/12.473173,75.771223/12.475451,75.782369/12.468955,75.776112/12.469799,75.774599/12.464333,75.785736/12.473345,75.771263/12.473501,75.771366/12.4757792,75.7857651/12.464318,75.788736/12.470344,75.774813/12.472833,75.779747/12.471936,75.780994/12.4244,75.7382", "Open Route")</f>
        <v/>
      </c>
    </row>
    <row r="30">
      <c r="A30" t="n">
        <v>15</v>
      </c>
      <c r="B30" t="inlineStr">
        <is>
          <t>Team 1</t>
        </is>
      </c>
      <c r="C30" t="n">
        <v>6</v>
      </c>
      <c r="D30">
        <f>HYPERLINK("https://www.google.com/maps/dir/12.4244,75.7382/12.314845,75.781994/12.316941,75.773741/12.312591,75.765893/12.314419,75.766151/12.309661,75.771174/12.310335,75.771851/12.4244,75.7382", "Open Route")</f>
        <v/>
      </c>
    </row>
    <row r="31">
      <c r="A31" t="n">
        <v>15</v>
      </c>
      <c r="B31" t="inlineStr">
        <is>
          <t>Team 2</t>
        </is>
      </c>
      <c r="C31" t="n">
        <v>9</v>
      </c>
      <c r="D31">
        <f>HYPERLINK("https://www.google.com/maps/dir/12.4244,75.7382/12.47065,75.75331/12.47288,75.756664/12.473979,75.75349/12.471686,75.75803/12.466456,75.749283/12.467234,75.758759/12.47445,75.761415/12.478957,75.766701/12.474042,75.761477/12.4244,75.7382", "Open Route")</f>
        <v/>
      </c>
    </row>
    <row r="32">
      <c r="A32" t="n">
        <v>16</v>
      </c>
      <c r="B32" t="inlineStr">
        <is>
          <t>Team 1</t>
        </is>
      </c>
      <c r="C32" t="n">
        <v>9</v>
      </c>
      <c r="D32">
        <f>HYPERLINK("https://www.google.com/maps/dir/12.4244,75.7382/12.311572,75.838301/12.3096567,75.8423034/12.3103,75.8358/12.306573,75.833888/12.31295,75.83569/12.3171,75.83527/12.319747,75.833006/12.320355,75.833113/12.31194,75.83194/12.4244,75.7382", "Open Route")</f>
        <v/>
      </c>
    </row>
    <row r="33">
      <c r="A33" t="n">
        <v>16</v>
      </c>
      <c r="B33" t="inlineStr">
        <is>
          <t>Team 2</t>
        </is>
      </c>
      <c r="C33" t="n">
        <v>8</v>
      </c>
      <c r="D33">
        <f>HYPERLINK("https://www.google.com/maps/dir/12.4244,75.7382/12.467474,75.829576/12.463771,75.83607/12.4690803,75.8311219/12.470505,75.834412/12.47136,75.82144/12.470451,75.811073/12.485949,75.835123/12.477816,75.832313/12.4244,75.7382", "Open Route")</f>
        <v/>
      </c>
    </row>
    <row r="34">
      <c r="A34" t="n">
        <v>17</v>
      </c>
      <c r="B34" t="inlineStr">
        <is>
          <t>Team 1</t>
        </is>
      </c>
      <c r="C34" t="n">
        <v>13</v>
      </c>
      <c r="D34">
        <f>HYPERLINK("https://www.google.com/maps/dir/12.4244,75.7382/12.316614,75.763276/12.314781,75.752868/12.315032,75.753608/12.309411,75.755328/12.308531,75.755907/12.306418,75.759214/12.311586,75.751814/12.312401,75.745911/12.317807,75.752751/12.315985,75.756501/12.315317,75.762553/12.316775,75.763726/12.316334,75.755889/12.4244,75.7382", "Open Route")</f>
        <v/>
      </c>
    </row>
    <row r="35">
      <c r="A35" t="n">
        <v>17</v>
      </c>
      <c r="B35" t="inlineStr">
        <is>
          <t>Team 2</t>
        </is>
      </c>
      <c r="C35" t="n">
        <v>9</v>
      </c>
      <c r="D35">
        <f>HYPERLINK("https://www.google.com/maps/dir/12.4244,75.7382/12.47023,75.88535/12.47001419,75.88622812/12.475478,75.880829/12.47497,75.87451/12.47176,75.8843/12.4722749,75.8985965/12.4644758,75.8924823/12.46764189,75.8985165/12.4618724,75.89192022/12.4244,75.7382", "Open Route")</f>
        <v/>
      </c>
    </row>
    <row r="36">
      <c r="A36" t="n">
        <v>18</v>
      </c>
      <c r="B36" t="inlineStr">
        <is>
          <t>Team 1</t>
        </is>
      </c>
      <c r="C36" t="n">
        <v>25</v>
      </c>
      <c r="D36">
        <f>HYPERLINK("https://www.google.com/maps/dir/12.4244,75.7382/12.32841,75.80981/12.327622,75.811272/12.32773,75.80921/12.33019,75.80736/12.31855,75.80172/12.32222,75.79884/12.3148,75.80449/12.32297,75.79886/12.305315,75.796235/12.322265,75.803859/12.318799,75.797229/12.318521,75.79764/12.31936,75.813422/12.317678,75.811639/12.319486,75.813597/12.3133366,75.8094751/12.31319,75.814876/12.322119,75.810796/12.319822,75.802039/12.3213,75.80149/12.32228,75.79834/12.32701,75.80296/12.322271,75.795602/12.326261,75.796311/12.3276,75.79564/12.4244,75.7382", "Open Route")</f>
        <v/>
      </c>
    </row>
    <row r="37">
      <c r="A37" t="n">
        <v>18</v>
      </c>
      <c r="B37" t="inlineStr">
        <is>
          <t>Team 2</t>
        </is>
      </c>
      <c r="C37" t="n">
        <v>7</v>
      </c>
      <c r="D37">
        <f>HYPERLINK("https://www.google.com/maps/dir/12.4244,75.7382/12.44744,75.9332/12.451439,75.945279/12.453977,75.96377/12.4645799,75.953145/12.48158,75.94486/12.481722,75.936673/12.485336,75.922311/12.4244,75.7382", "Open Route")</f>
        <v/>
      </c>
    </row>
    <row r="38">
      <c r="A38" t="n">
        <v>19</v>
      </c>
      <c r="B38" t="inlineStr">
        <is>
          <t>Team 1</t>
        </is>
      </c>
      <c r="C38" t="n">
        <v>16</v>
      </c>
      <c r="D38">
        <f>HYPERLINK("https://www.google.com/maps/dir/12.4244,75.7382/12.319526,75.876146/12.314156,75.875526/12.317862,75.874027/12.31803,75.8808/12.31716,75.88046/12.324712,75.882185/12.319237,75.882731/12.311009,75.8719/12.332495,75.876592/12.323574,75.878125/12.326916,75.879138/12.323543,75.875725/12.32769,75.868595/12.32227,75.872233/12.32216,75.872132/12.322876,75.872751/12.4244,75.7382", "Open Route")</f>
        <v/>
      </c>
    </row>
    <row r="39">
      <c r="A39" t="n">
        <v>19</v>
      </c>
      <c r="B39" t="inlineStr">
        <is>
          <t>Team 2</t>
        </is>
      </c>
      <c r="C39" t="n">
        <v>6</v>
      </c>
      <c r="D39">
        <f>HYPERLINK("https://www.google.com/maps/dir/12.4244,75.7382/12.4587,75.693693/12.4634299,75.6932011/12.4657503,75.689685/12.469812,75.679007/12.471778,75.6939/12.467802,75.690073/12.4244,75.7382", "Open Route")</f>
        <v/>
      </c>
    </row>
    <row r="40">
      <c r="A40" t="n">
        <v>20</v>
      </c>
      <c r="B40" t="inlineStr">
        <is>
          <t>Team 1</t>
        </is>
      </c>
      <c r="C40" t="n">
        <v>5</v>
      </c>
      <c r="D40">
        <f>HYPERLINK("https://www.google.com/maps/dir/12.4244,75.7382/12.317845,75.664645/12.32556,75.65993/12.325379,75.681986/12.325521,75.682226/12.31908,75.684236/12.4244,75.7382", "Open Route")</f>
        <v/>
      </c>
    </row>
    <row r="41">
      <c r="A41" t="n">
        <v>20</v>
      </c>
      <c r="B41" t="inlineStr">
        <is>
          <t>Team 2</t>
        </is>
      </c>
      <c r="C41" t="n">
        <v>10</v>
      </c>
      <c r="D41">
        <f>HYPERLINK("https://www.google.com/maps/dir/12.4244,75.7382/12.457254,75.85814/12.4582,75.85857/12.461748,75.863205/12.464841,75.860082/12.470107,75.860881/12.474212,75.858569/12.46486,75.84684/12.45401,75.85329/12.45893,75.85674/12.459625,75.855526/12.4244,75.7382", "Open Route")</f>
        <v/>
      </c>
    </row>
    <row r="42">
      <c r="A42" t="n">
        <v>21</v>
      </c>
      <c r="B42" t="inlineStr">
        <is>
          <t>Team 1</t>
        </is>
      </c>
      <c r="C42" t="n">
        <v>12</v>
      </c>
      <c r="D42">
        <f>HYPERLINK("https://www.google.com/maps/dir/12.4244,75.7382/12.323071,75.813591/12.320382,75.814396/12.319997,75.814622/12.316348,75.817926/12.323458,75.816171/12.329662,75.812503/12.331575,75.824457/12.333794,75.82001/12.332496,75.821934/12.327152,75.82368/12.322335,75.823797/12.322516,75.821475/12.4244,75.7382", "Open Route")</f>
        <v/>
      </c>
    </row>
    <row r="43">
      <c r="A43" t="n">
        <v>21</v>
      </c>
      <c r="B43" t="inlineStr">
        <is>
          <t>Team 2</t>
        </is>
      </c>
      <c r="C43" t="n">
        <v>27</v>
      </c>
      <c r="D43">
        <f>HYPERLINK("https://www.google.com/maps/dir/12.4244,75.7382/12.45241,75.759459/12.457574,75.764961/12.46092,75.765881/12.460174,75.763196/12.462121,75.763741/12.461472,75.769248/12.459214,75.77614/12.452708,75.773474/12.458198,75.767441/12.449219,75.770215/12.459187,75.768836/12.452182,75.769289/12.456451,75.770741/12.44812,75.7781/12.458165,75.767111/12.458866,75.769117/12.458153,75.767211/12.461405,75.769218/12.457483,75.771738/12.461341,75.769517/12.456192,75.770677/12.456924,75.769241/12.458611,75.767019/12.449151,75.770527/12.462335,75.762691/12.460539,75.762651/12.452592,75.759811/12.4244,75.7382", "Open Route")</f>
        <v/>
      </c>
    </row>
    <row r="44">
      <c r="A44" t="n">
        <v>22</v>
      </c>
      <c r="B44" t="inlineStr">
        <is>
          <t>Team 1</t>
        </is>
      </c>
      <c r="C44" t="n">
        <v>11</v>
      </c>
      <c r="D44">
        <f>HYPERLINK("https://www.google.com/maps/dir/12.4244,75.7382/12.33105,75.83272/12.335048,75.832984/12.33601,75.83871/12.338038,75.841503/12.33485,75.84275/12.33113,75.84361/12.335841,75.841961/12.324861,75.839839/12.32695,75.83406/12.3269,75.83297/12.330348,75.832679/12.4244,75.7382", "Open Route")</f>
        <v/>
      </c>
    </row>
    <row r="45">
      <c r="A45" t="n">
        <v>22</v>
      </c>
      <c r="B45" t="inlineStr">
        <is>
          <t>Team 2</t>
        </is>
      </c>
      <c r="C45" t="n">
        <v>9</v>
      </c>
      <c r="D45">
        <f>HYPERLINK("https://www.google.com/maps/dir/12.4244,75.7382/12.452493,75.707851/12.462203,75.701315/12.46227,75.701459/12.463774,75.704887/12.453683,75.698748/12.4536379,75.702331/12.451911,75.703345/12.455879,75.702056/12.443349,75.704795/12.4244,75.7382", "Open Route")</f>
        <v/>
      </c>
    </row>
    <row r="46">
      <c r="A46" t="n">
        <v>23</v>
      </c>
      <c r="B46" t="inlineStr">
        <is>
          <t>Team 1</t>
        </is>
      </c>
      <c r="C46" t="n">
        <v>26</v>
      </c>
      <c r="D46">
        <f>HYPERLINK("https://www.google.com/maps/dir/12.4244,75.7382/12.33874,75.78376/12.34275,75.78366/12.341871,75.78743/12.341942,75.787299/12.341887,75.787519/12.332216,75.789352/12.33645,75.78611/12.33185,75.78701/12.33687,75.78286/12.33241,75.78565/12.33744,75.78217/12.325722,75.785057/12.32654,75.78534/12.33389,75.79096/12.33634,75.78649/12.33179,75.78713/12.33633,75.78803/12.33647,75.78536/12.3336,75.78936/12.337408,75.782008/12.336381,75.782792/12.33179,75.78711/12.34519,75.78178/12.34297,75.77836/12.33742,75.77752/12.333496,75.773895/12.4244,75.7382", "Open Route")</f>
        <v/>
      </c>
    </row>
    <row r="47">
      <c r="A47" t="n">
        <v>23</v>
      </c>
      <c r="B47" t="inlineStr">
        <is>
          <t>Team 2</t>
        </is>
      </c>
      <c r="C47" t="n">
        <v>9</v>
      </c>
      <c r="D47">
        <f>HYPERLINK("https://www.google.com/maps/dir/12.4244,75.7382/12.4489955,75.821644/12.4449525,75.822794/12.452795,75.831459/12.45228,75.83772/12.4583074,75.8395243/12.457593,75.8398827/12.44587,75.84069/12.449658,75.84491/12.4512981,75.8426933/12.4244,75.7382", "Open Route")</f>
        <v/>
      </c>
    </row>
    <row r="48">
      <c r="A48" t="n">
        <v>24</v>
      </c>
      <c r="B48" t="inlineStr">
        <is>
          <t>Team 1</t>
        </is>
      </c>
      <c r="C48" t="n">
        <v>17</v>
      </c>
      <c r="D48">
        <f>HYPERLINK("https://www.google.com/maps/dir/12.4244,75.7382/12.351105,75.8589/12.347843,75.85847/12.345669,75.863947/12.340439,75.867709/12.340124,75.865845/12.341294,75.864514/12.341784,75.865523/12.331477,75.85852/12.328133,75.856762/12.331472,75.859538/12.3330902,75.8681646/12.337521,75.874068/12.337517,75.874069/12.328115,75.859949/12.328085,75.8587041/12.3280855,75.8587041/12.331467,75.859522/12.4244,75.7382", "Open Route")</f>
        <v/>
      </c>
    </row>
    <row r="49">
      <c r="A49" t="n">
        <v>24</v>
      </c>
      <c r="B49" t="inlineStr">
        <is>
          <t>Team 2</t>
        </is>
      </c>
      <c r="C49" t="n">
        <v>20</v>
      </c>
      <c r="D49">
        <f>HYPERLINK("https://www.google.com/maps/dir/12.4244,75.7382/12.44113,75.86881/12.44123,75.86973/12.44443,75.87192/12.450826,75.871889/12.4493,75.87568/12.443222,75.870536/12.43529,75.87871/12.437919,75.876327/12.451012,75.871966/12.457949,75.86735/12.454921,75.873257/12.457453,75.874266/12.4565,75.86852/12.45729,75.873981/12.451157,75.88126/12.45741,75.87634/12.4651244,75.8754126/12.46238,75.8736/12.452934,75.8782591/12.437827,75.876272/12.4244,75.7382", "Open Route")</f>
        <v/>
      </c>
    </row>
    <row r="50">
      <c r="A50" t="n">
        <v>25</v>
      </c>
      <c r="B50" t="inlineStr">
        <is>
          <t>Team 1</t>
        </is>
      </c>
      <c r="C50" t="n">
        <v>30</v>
      </c>
      <c r="D50">
        <f>HYPERLINK("https://www.google.com/maps/dir/12.4244,75.7382/12.347427,75.801139/12.34519,75.79586/12.34494,75.79845/12.3455,75.7965/12.34221,75.79691/12.3399412,75.7951645/12.340817,75.794827/12.341105,75.798125/12.33962,75.79521/12.33999,75.80375/12.34054,75.80533/12.339403,75.806715/12.33996,75.8027/12.3398,75.80374/12.344797,75.803811/12.33471,75.80083/12.33522,75.80113/12.33465,75.80058/12.33352,75.7995/12.331103,75.798592/12.33513,75.80078/12.331676,75.80673/12.332205,75.803947/12.33507,75.80124/12.33471,75.80085/12.332735,75.800783/12.333269,75.800553/12.330021,75.79414/12.34198,75.794697/12.34223,75.79376/12.4244,75.7382", "Open Route")</f>
        <v/>
      </c>
    </row>
    <row r="51">
      <c r="A51" t="n">
        <v>25</v>
      </c>
      <c r="B51" t="inlineStr">
        <is>
          <t>Team 2</t>
        </is>
      </c>
      <c r="C51" t="n">
        <v>14</v>
      </c>
      <c r="D51">
        <f>HYPERLINK("https://www.google.com/maps/dir/12.4244,75.7382/12.439711,75.856903/12.4418596,75.8521548/12.44716,75.85152/12.44253,75.85816/12.4424296,75.8498012/12.45013,75.85641/12.440615,75.855379/12.442002,75.8525927/12.4418841,75.85253/12.44879,75.85532/12.448747,75.858928/12.44127,75.86063/12.44073,75.86668/12.451857,75.852124/12.4244,75.7382", "Open Route")</f>
        <v/>
      </c>
    </row>
    <row r="52">
      <c r="A52" t="n">
        <v>26</v>
      </c>
      <c r="B52" t="inlineStr">
        <is>
          <t>Team 1</t>
        </is>
      </c>
      <c r="C52" t="n">
        <v>8</v>
      </c>
      <c r="D52">
        <f>HYPERLINK("https://www.google.com/maps/dir/12.4244,75.7382/12.3519053,75.759984/12.3417338,75.7591841/12.336762,75.750205/12.333672,75.757736/12.3337269,75.7587707/12.34479,75.76008/12.3445161,75.754163/12.3422389,75.7688618/12.4244,75.7382", "Open Route")</f>
        <v/>
      </c>
    </row>
    <row r="53">
      <c r="A53" t="n">
        <v>26</v>
      </c>
      <c r="B53" t="inlineStr">
        <is>
          <t>Team 2</t>
        </is>
      </c>
      <c r="C53" t="n">
        <v>8</v>
      </c>
      <c r="D53">
        <f>HYPERLINK("https://www.google.com/maps/dir/12.4244,75.7382/12.436823,75.735296/12.449267,75.733576/12.452281,75.733052/12.450066,75.756614/12.4415269,75.762225/12.4408305,75.7624292/12.4410653,75.7621653/12.441998,75.75043/12.4244,75.7382", "Open Route")</f>
        <v/>
      </c>
    </row>
    <row r="54">
      <c r="A54" t="n">
        <v>27</v>
      </c>
      <c r="B54" t="inlineStr">
        <is>
          <t>Team 1</t>
        </is>
      </c>
      <c r="C54" t="n">
        <v>6</v>
      </c>
      <c r="D54">
        <f>HYPERLINK("https://www.google.com/maps/dir/12.4244,75.7382/12.3439389,75.72134708/12.3448554,75.72137059/12.34434,75.71824/12.34408,75.71935/12.3441988,75.72013184/12.33128,75.704152/12.4244,75.7382", "Open Route")</f>
        <v/>
      </c>
    </row>
    <row r="55">
      <c r="A55" t="n">
        <v>27</v>
      </c>
      <c r="B55" t="inlineStr">
        <is>
          <t>Team 2</t>
        </is>
      </c>
      <c r="C55" t="n">
        <v>11</v>
      </c>
      <c r="D55">
        <f>HYPERLINK("https://www.google.com/maps/dir/12.4244,75.7382/12.4426595,75.7966376/12.439146,75.802842/12.435984,75.7997354/12.443775,75.804047/12.439978,75.807498/12.448003,75.812546/12.455537,75.808676/12.440065,75.80775/12.4472479,75.802083/12.451489,75.798521/12.437735,75.799516/12.4244,75.7382", "Open Route")</f>
        <v/>
      </c>
    </row>
    <row r="56">
      <c r="A56" t="n">
        <v>28</v>
      </c>
      <c r="B56" t="inlineStr">
        <is>
          <t>Team 1</t>
        </is>
      </c>
      <c r="C56" t="n">
        <v>11</v>
      </c>
      <c r="D56">
        <f>HYPERLINK("https://www.google.com/maps/dir/12.4244,75.7382/12.3405,75.81048/12.347481,75.807481/12.343029,75.812928/12.344837,75.813027/12.343999,75.818518/12.34579,75.81498/12.34575,75.81506/12.35148,75.821343/12.340026,75.822669/12.3351498,75.8142894/12.33399,75.81074/12.4244,75.7382", "Open Route")</f>
        <v/>
      </c>
    </row>
    <row r="57">
      <c r="A57" t="n">
        <v>28</v>
      </c>
      <c r="B57" t="inlineStr">
        <is>
          <t>Team 2</t>
        </is>
      </c>
      <c r="C57" t="n">
        <v>15</v>
      </c>
      <c r="D57">
        <f>HYPERLINK("https://www.google.com/maps/dir/12.4244,75.7382/12.4341039,75.8572688/12.42518,75.860658/12.423635,75.859944/12.4285035,75.860879/12.42705,75.853591/12.428291,75.860382/12.426023,75.865688/12.433131,75.858176/12.431889,75.861082/12.429957,75.863358/12.432156,75.860646/12.433247,75.857981/12.4315966,75.8546629/12.433338,75.8573053/12.4312342,75.8549238/12.4244,75.7382", "Open Route")</f>
        <v/>
      </c>
    </row>
    <row r="58">
      <c r="A58" t="n">
        <v>29</v>
      </c>
      <c r="B58" t="inlineStr">
        <is>
          <t>Team 1</t>
        </is>
      </c>
      <c r="C58" t="n">
        <v>4</v>
      </c>
      <c r="D58">
        <f>HYPERLINK("https://www.google.com/maps/dir/12.4244,75.7382/12.341234,75.728098/12.341526,75.735398/12.341055,75.736901/12.356953,75.732392/12.4244,75.7382", "Open Route")</f>
        <v/>
      </c>
    </row>
    <row r="59">
      <c r="A59" t="n">
        <v>29</v>
      </c>
      <c r="B59" t="inlineStr">
        <is>
          <t>Team 2</t>
        </is>
      </c>
      <c r="C59" t="n">
        <v>10</v>
      </c>
      <c r="D59">
        <f>HYPERLINK("https://www.google.com/maps/dir/12.4244,75.7382/12.424475,75.709483/12.426024,75.709252/12.425761,75.708902/12.423887,75.709941/12.423425,75.709645/12.424799,75.709359/12.420054,75.709193/12.428784,75.701372/12.428298,75.701522/12.428975,75.727983/12.4244,75.7382", "Open Route")</f>
        <v/>
      </c>
    </row>
    <row r="60">
      <c r="A60" t="n">
        <v>30</v>
      </c>
      <c r="B60" t="inlineStr">
        <is>
          <t>Team 1</t>
        </is>
      </c>
      <c r="C60" t="n">
        <v>18</v>
      </c>
      <c r="D60">
        <f>HYPERLINK("https://www.google.com/maps/dir/12.4244,75.7382/12.348565,75.832836/12.348192,75.831876/12.349369,75.827376/12.35122,75.838326/12.349326,75.832898/12.3438,75.83807/12.34341,75.841707/12.34344,75.83459/12.3421639,75.8295129/12.3429735,75.8446278/12.34355,75.83829/12.345043,75.838596/12.35075,75.84186/12.350644,75.842864/12.34854,75.83836/12.354582,75.837384/12.35533,75.829447/12.358225,75.832678/12.4244,75.7382", "Open Route")</f>
        <v/>
      </c>
    </row>
    <row r="61">
      <c r="A61" t="n">
        <v>30</v>
      </c>
      <c r="B61" t="inlineStr">
        <is>
          <t>Team 2</t>
        </is>
      </c>
      <c r="C61" t="n">
        <v>6</v>
      </c>
      <c r="D61">
        <f>HYPERLINK("https://www.google.com/maps/dir/12.4244,75.7382/12.4154398,75.77689/12.4245918,75.7691089/12.42627,75.79081/12.427154,75.780029/12.429881,75.778257/12.428305,75.777019/12.4244,75.7382", "Open Route")</f>
        <v/>
      </c>
    </row>
    <row r="62">
      <c r="A62" t="n">
        <v>31</v>
      </c>
      <c r="B62" t="inlineStr">
        <is>
          <t>Team 1</t>
        </is>
      </c>
      <c r="C62" t="n">
        <v>10</v>
      </c>
      <c r="D62">
        <f>HYPERLINK("https://www.google.com/maps/dir/12.4244,75.7382/12.35066,75.873929/12.350459,75.874861/12.3567,75.89499/12.35102077,75.89875/12.3477184,75.8870169/12.35326379,75.8800017/12.353374,75.876251/12.35038,75.875764/12.355074,75.874553/12.348264,75.871086/12.4244,75.7382", "Open Route")</f>
        <v/>
      </c>
    </row>
    <row r="63">
      <c r="A63" t="n">
        <v>31</v>
      </c>
      <c r="B63" t="inlineStr">
        <is>
          <t>Team 2</t>
        </is>
      </c>
      <c r="C63" t="n">
        <v>4</v>
      </c>
      <c r="D63">
        <f>HYPERLINK("https://www.google.com/maps/dir/12.4244,75.7382/12.425009,75.80868/12.423943,75.801216/12.423708,75.821479/12.42683,75.824913/12.4244,75.7382", "Open Route")</f>
        <v/>
      </c>
    </row>
    <row r="64">
      <c r="A64" t="n">
        <v>32</v>
      </c>
      <c r="B64" t="inlineStr">
        <is>
          <t>Team 1</t>
        </is>
      </c>
      <c r="C64" t="n">
        <v>26</v>
      </c>
      <c r="D64">
        <f>HYPERLINK("https://www.google.com/maps/dir/12.4244,75.7382/12.36214,75.79126/12.36474,75.79078/12.3645,75.792806/12.36205,75.78786/12.361928,75.79149/12.35758,75.78955/12.35763,75.78955/12.351436,75.792972/12.350348,75.793733/12.35035,75.794637/12.34669,75.79526/12.35018,75.79388/12.34974,75.79411/12.347211,75.791695/12.34816,75.79841/12.348856,75.798362/12.352238,75.7924/12.357844,75.791902/12.353273,75.792156/12.35355,75.79661/12.351743,75.791668/12.3515975,75.7919972/12.358108,75.792282/12.347677,75.781441/12.347678,75.781336/12.347775,75.781738/12.4244,75.7382", "Open Route")</f>
        <v/>
      </c>
    </row>
    <row r="65">
      <c r="A65" t="n">
        <v>32</v>
      </c>
      <c r="B65" t="inlineStr">
        <is>
          <t>Team 2</t>
        </is>
      </c>
      <c r="C65" t="n">
        <v>5</v>
      </c>
      <c r="D65">
        <f>HYPERLINK("https://www.google.com/maps/dir/12.4244,75.7382/12.42259,75.83235/12.416286,75.836439/12.424781,75.842748/12.422886,75.8387937/12.418506,75.835572/12.4244,75.7382", "Open Route")</f>
        <v/>
      </c>
    </row>
    <row r="66">
      <c r="A66" t="n">
        <v>33</v>
      </c>
      <c r="B66" t="inlineStr">
        <is>
          <t>Team 1</t>
        </is>
      </c>
      <c r="C66" t="n">
        <v>29</v>
      </c>
      <c r="D66">
        <f>HYPERLINK("https://www.google.com/maps/dir/12.4244,75.7382/12.3599208,75.8145073/12.35311,75.80727/12.3630452,75.8048306/12.355593,75.806458/12.36131,75.80415/12.355548,75.806399/12.35309,75.80501/12.350151,75.800726/12.35472,75.80121/12.35918,75.80422/12.35525,75.80146/12.35585,75.80322/12.35759,75.80354/12.358851,75.804625/12.35596,75.80276/12.3551,75.80124/12.35618,75.80343/12.35508,75.80124/12.35719,75.80329/12.35583,75.80416/12.360479,75.804071/12.35493,75.80076/12.35521,75.80145/12.35604,75.80447/12.35514,75.8018/12.35553,75.80152/12.36932,75.79512/12.37171,75.79816/12.37136,75.79821/12.4244,75.7382", "Open Route")</f>
        <v/>
      </c>
    </row>
    <row r="67">
      <c r="A67" t="n">
        <v>33</v>
      </c>
      <c r="B67" t="inlineStr">
        <is>
          <t>Team 2</t>
        </is>
      </c>
      <c r="C67" t="n">
        <v>16</v>
      </c>
      <c r="D67">
        <f>HYPERLINK("https://www.google.com/maps/dir/12.4244,75.7382/12.417125,75.652816/12.413784,75.665279/12.4188199,75.6393641/12.4190894,75.6620831/12.419103,75.661497/12.411602,75.66655/12.413563,75.663548/12.4141703,75.6554376/12.414792,75.65993/12.420399,75.657499/12.419928,75.660576/12.414613,75.664201/12.409433,75.669529/12.415822,75.668457/12.431096,75.680356/12.440173,75.649544/12.4244,75.7382", "Open Route")</f>
        <v/>
      </c>
    </row>
    <row r="68">
      <c r="A68" t="n">
        <v>34</v>
      </c>
      <c r="B68" t="inlineStr">
        <is>
          <t>Team 1</t>
        </is>
      </c>
      <c r="C68" t="n">
        <v>14</v>
      </c>
      <c r="D68">
        <f>HYPERLINK("https://www.google.com/maps/dir/12.4244,75.7382/12.356159,75.650119/12.362335,75.647339/12.350155,75.640017/12.361933,75.647861/12.370672,75.635772/12.361482,75.637009/12.375688,75.61992/12.385208,75.623367/12.371584,75.618282/12.372078,75.618433/12.350124,75.640079/12.341767,75.644121/12.344518,75.643799/12.347775,75.644637/12.4244,75.7382", "Open Route")</f>
        <v/>
      </c>
    </row>
    <row r="69">
      <c r="A69" t="n">
        <v>34</v>
      </c>
      <c r="B69" t="inlineStr">
        <is>
          <t>Team 2</t>
        </is>
      </c>
      <c r="C69" t="n">
        <v>11</v>
      </c>
      <c r="D69">
        <f>HYPERLINK("https://www.google.com/maps/dir/12.4244,75.7382/12.416628,75.871409/12.42138,75.87967/12.41945,75.881902/12.417443,75.872019/12.416672,75.871428/12.416589,75.871281/12.415842,75.869/12.41529,75.86652/12.415441,75.865414/12.4151,75.86275/12.41556,75.86403/12.4244,75.7382", "Open Route")</f>
        <v/>
      </c>
    </row>
    <row r="70">
      <c r="A70" t="n">
        <v>35</v>
      </c>
      <c r="B70" t="inlineStr">
        <is>
          <t>Team 1</t>
        </is>
      </c>
      <c r="C70" t="n">
        <v>6</v>
      </c>
      <c r="D70">
        <f>HYPERLINK("https://www.google.com/maps/dir/12.4244,75.7382/12.366483,75.711853/12.358427,75.708275/12.359955,75.70618/12.355304,75.702308/12.361483,75.698629/12.371056,75.693704/12.4244,75.7382", "Open Route")</f>
        <v/>
      </c>
    </row>
    <row r="71">
      <c r="A71" t="n">
        <v>35</v>
      </c>
      <c r="B71" t="inlineStr">
        <is>
          <t>Team 2</t>
        </is>
      </c>
      <c r="C71" t="n">
        <v>8</v>
      </c>
      <c r="D71">
        <f>HYPERLINK("https://www.google.com/maps/dir/12.4244,75.7382/12.424553,75.9113356/12.4204343,75.9073665/12.414327,75.909523/12.417134,75.910851/12.41891,75.9103399/12.416666,75.910759/12.41506,75.909745/12.405255,75.908751/12.4244,75.7382", "Open Route")</f>
        <v/>
      </c>
    </row>
    <row r="72">
      <c r="A72" t="n">
        <v>36</v>
      </c>
      <c r="B72" t="inlineStr">
        <is>
          <t>Team 1</t>
        </is>
      </c>
      <c r="C72" t="n">
        <v>19</v>
      </c>
      <c r="D72">
        <f>HYPERLINK("https://www.google.com/maps/dir/12.4244,75.7382/12.366334,75.67551/12.377791,75.675493/12.369094,75.660139/12.385324,75.668045/12.381693,75.668351/12.366511,75.658422/12.372359,75.679982/12.35224,75.66257/12.35676,75.65735/12.354215,75.65748/12.3540038,75.6575897/12.365912,75.654378/12.35034,75.6769264/12.3537427,75.6653963/12.360392,75.665952/12.362472,75.673104/12.346792,75.667908/12.3516515,75.6702611/12.36379,75.669788/12.4244,75.7382", "Open Route")</f>
        <v/>
      </c>
    </row>
    <row r="73">
      <c r="A73" t="n">
        <v>36</v>
      </c>
      <c r="B73" t="inlineStr">
        <is>
          <t>Team 2</t>
        </is>
      </c>
      <c r="C73" t="n">
        <v>6</v>
      </c>
      <c r="D73">
        <f>HYPERLINK("https://www.google.com/maps/dir/12.4244,75.7382/12.40404,75.7478283/12.400808,75.728222/12.404338,75.722052/12.412202,75.730789/12.411036,75.729794/12.419273,75.736207/12.4244,75.7382", "Open Route")</f>
        <v/>
      </c>
    </row>
    <row r="74">
      <c r="A74" t="n">
        <v>37</v>
      </c>
      <c r="B74" t="inlineStr">
        <is>
          <t>Team 1</t>
        </is>
      </c>
      <c r="C74" t="n">
        <v>5</v>
      </c>
      <c r="D74">
        <f>HYPERLINK("https://www.google.com/maps/dir/12.4244,75.7382/12.344223,75.582714/12.374709,75.575731/12.369846,75.588036/12.368602,75.576431/12.371558,75.603508/12.4244,75.7382", "Open Route")</f>
        <v/>
      </c>
    </row>
    <row r="75">
      <c r="A75" t="n">
        <v>37</v>
      </c>
      <c r="B75" t="inlineStr">
        <is>
          <t>Team 2</t>
        </is>
      </c>
      <c r="C75" t="n">
        <v>11</v>
      </c>
      <c r="D75">
        <f>HYPERLINK("https://www.google.com/maps/dir/12.4244,75.7382/12.393436,75.692841/12.393481,75.692746/12.399179,75.680521/12.416764,75.6937271/12.409541,75.702181/12.408808,75.7021274/12.401095,75.692595/12.411682,75.693069/12.408672,75.684898/12.416067,75.676924/12.414218,75.678842/12.4244,75.7382", "Open Route")</f>
        <v/>
      </c>
    </row>
    <row r="76">
      <c r="A76" t="n">
        <v>38</v>
      </c>
      <c r="B76" t="inlineStr">
        <is>
          <t>Team 1</t>
        </is>
      </c>
      <c r="C76" t="n">
        <v>17</v>
      </c>
      <c r="D76">
        <f>HYPERLINK("https://www.google.com/maps/dir/12.4244,75.7382/12.370911,75.841596/12.375446,75.847564/12.374033,75.854573/12.362614,75.864921/12.367111,75.860966/12.363813,75.854689/12.363275,75.854265/12.362767,75.853984/12.361729,75.852664/12.363574,75.854524/12.3636,75.854954/12.361314,75.851169/12.367712,75.857477/12.36867,75.85154/12.372392,75.857121/12.368381,75.859025/12.372096,75.855762/12.4244,75.7382", "Open Route")</f>
        <v/>
      </c>
    </row>
    <row r="77">
      <c r="A77" t="n">
        <v>38</v>
      </c>
      <c r="B77" t="inlineStr">
        <is>
          <t>Team 2</t>
        </is>
      </c>
      <c r="C77" t="n">
        <v>21</v>
      </c>
      <c r="D77">
        <f>HYPERLINK("https://www.google.com/maps/dir/12.4244,75.7382/12.406535,75.515289/12.402924,75.517219/12.409713,75.513092/12.401451,75.509134/12.4014,75.51139/12.402824,75.51514/12.401993,75.507788/12.401145,75.510479/12.401872,75.511428/12.402746,75.515033/12.401832,75.509849/12.408615,75.513541/12.411164,75.509514/12.4113,75.509301/12.406854,75.51603/12.401609,75.521774/12.404957,75.524745/12.39894,75.524142/12.400648,75.524351/12.404313,75.523958/12.391928,75.51772/12.4244,75.7382", "Open Route")</f>
        <v/>
      </c>
    </row>
    <row r="78">
      <c r="A78" t="n">
        <v>39</v>
      </c>
      <c r="B78" t="inlineStr">
        <is>
          <t>Team 1</t>
        </is>
      </c>
      <c r="C78" t="n">
        <v>6</v>
      </c>
      <c r="D78">
        <f>HYPERLINK("https://www.google.com/maps/dir/12.4244,75.7382/12.367482,75.502586/12.36818,75.503814/12.367546,75.505419/12.36546,75.504325/12.368261,75.503241/12.365977,75.505747/12.4244,75.7382", "Open Route")</f>
        <v/>
      </c>
    </row>
    <row r="79">
      <c r="A79" t="n">
        <v>39</v>
      </c>
      <c r="B79" t="inlineStr">
        <is>
          <t>Team 2</t>
        </is>
      </c>
      <c r="C79" t="n">
        <v>11</v>
      </c>
      <c r="D79">
        <f>HYPERLINK("https://www.google.com/maps/dir/12.4244,75.7382/12.405516,75.859262/12.403748,75.871129/12.402602,75.868801/12.40075,75.86598/12.398516,75.869917/12.4043,75.8683/12.40562,75.8645/12.40192,75.86903/12.402382,75.868683/12.403894,75.870912/12.404605,75.870778/12.4244,75.7382", "Open Route")</f>
        <v/>
      </c>
    </row>
    <row r="80">
      <c r="A80" t="n">
        <v>40</v>
      </c>
      <c r="B80" t="inlineStr">
        <is>
          <t>Team 1</t>
        </is>
      </c>
      <c r="C80" t="n">
        <v>9</v>
      </c>
      <c r="D80">
        <f>HYPERLINK("https://www.google.com/maps/dir/12.4244,75.7382/12.3660297,75.7651439/12.36077,75.772814/12.372066,75.780986/12.3704921,75.768155/12.360783,75.772821/12.362872,75.769629/12.3742239,75.7708423/12.3717071,75.7720955/12.3716839,75.7675254/12.4244,75.7382", "Open Route")</f>
        <v/>
      </c>
    </row>
    <row r="81">
      <c r="A81" t="n">
        <v>40</v>
      </c>
      <c r="B81" t="inlineStr">
        <is>
          <t>Team 2</t>
        </is>
      </c>
      <c r="C81" t="n">
        <v>7</v>
      </c>
      <c r="D81">
        <f>HYPERLINK("https://www.google.com/maps/dir/12.4244,75.7382/12.39194,75.82882/12.399395,75.824063/12.39728,75.82159/12.40259,75.83581/12.407674,75.822365/12.40779,75.82159/12.407671,75.822367/12.4244,75.7382", "Open Route")</f>
        <v/>
      </c>
    </row>
    <row r="82">
      <c r="A82" t="n">
        <v>41</v>
      </c>
      <c r="B82" t="inlineStr">
        <is>
          <t>Team 1</t>
        </is>
      </c>
      <c r="C82" t="n">
        <v>46</v>
      </c>
      <c r="D82">
        <f>HYPERLINK("https://www.google.com/maps/dir/12.4244,75.7382/12.367467,75.551701/12.366161,75.55128/12.363184,75.551911/12.366082,75.549098/12.366681,75.55225/12.369406,75.550745/12.36744,75.551721/12.36291,75.552403/12.366545,75.55199/12.363122,75.554682/12.366453,75.552046/12.363528,75.548058/12.369104,75.547781/12.371626,75.54266/12.364458,75.546196/12.363841,75.545447/12.369987,75.538723/12.365248,75.545861/12.364792,75.54611/12.362562,75.545272/12.365788,75.546541/12.373811,75.541004/12.372263,75.541386/12.36512,75.546264/12.365507,75.546333/12.370989,75.539519/12.363578,75.545986/12.372757,75.539667/12.37357,75.537788/12.369653,75.540185/12.368781,75.539599/12.371452,75.541675/12.368221,75.546761/12.369516,75.54939/12.375987,75.545249/12.369549,75.549875/12.373662,75.545648/12.369506,75.549902/12.373393,75.544837/12.368913,75.546649/12.368338,75.546471/12.370506,75.54971/12.369091,75.548234/12.368382,75.546218/12.363527,75.548058/12.363455,75.550912/12.4244,75.7382", "Open Route")</f>
        <v/>
      </c>
    </row>
    <row r="83">
      <c r="A83" t="n">
        <v>41</v>
      </c>
      <c r="B83" t="inlineStr">
        <is>
          <t>Team 2</t>
        </is>
      </c>
      <c r="C83" t="n">
        <v>4</v>
      </c>
      <c r="D83">
        <f>HYPERLINK("https://www.google.com/maps/dir/12.4244,75.7382/12.401966,75.777757/12.403937,75.792362/12.399739,75.790681/12.402418,75.798058/12.4244,75.7382", "Open Route")</f>
        <v/>
      </c>
    </row>
    <row r="84">
      <c r="A84" t="n">
        <v>42</v>
      </c>
      <c r="B84" t="inlineStr">
        <is>
          <t>Team 1</t>
        </is>
      </c>
      <c r="C84" t="n">
        <v>9</v>
      </c>
      <c r="D84">
        <f>HYPERLINK("https://www.google.com/maps/dir/12.4244,75.7382/12.357605,75.821723/12.369842,75.831594/12.365603,75.835056/12.36794,75.830207/12.382607,75.83228/12.377371,75.827899/12.367862,75.826193/12.369927,75.823805/12.377461,75.82718/12.4244,75.7382", "Open Route")</f>
        <v/>
      </c>
    </row>
    <row r="85">
      <c r="A85" t="n">
        <v>42</v>
      </c>
      <c r="B85" t="inlineStr">
        <is>
          <t>Team 2</t>
        </is>
      </c>
      <c r="C85" t="n">
        <v>5</v>
      </c>
      <c r="D85">
        <f>HYPERLINK("https://www.google.com/maps/dir/12.4244,75.7382/12.391969,75.769905/12.385084,75.758509/12.384553,75.75865/12.400455,75.75367/12.396708,75.7512819/12.4244,75.7382", "Open Route")</f>
        <v/>
      </c>
    </row>
    <row r="86">
      <c r="A86" t="n">
        <v>43</v>
      </c>
      <c r="B86" t="inlineStr">
        <is>
          <t>Team 1</t>
        </is>
      </c>
      <c r="C86" t="n">
        <v>12</v>
      </c>
      <c r="D86">
        <f>HYPERLINK("https://www.google.com/maps/dir/12.4244,75.7382/12.368499,75.750751/12.36371,75.7565002/12.368502,75.750836/12.36345,75.756915/12.365287,75.745857/12.36913,75.756041/12.372125,75.744781/12.372924,75.744638/12.371839,75.743567/12.386957,75.740384/12.370016,75.733538/12.376447,75.724437/12.4244,75.7382", "Open Route")</f>
        <v/>
      </c>
    </row>
    <row r="87">
      <c r="A87" t="n">
        <v>43</v>
      </c>
      <c r="B87" t="inlineStr">
        <is>
          <t>Team 2</t>
        </is>
      </c>
      <c r="C87" t="n">
        <v>13</v>
      </c>
      <c r="D87">
        <f>HYPERLINK("https://www.google.com/maps/dir/12.4244,75.7382/12.394805,75.902157/12.398697,75.905216/12.3973615,75.9052865/12.394215,75.903452/12.386962,75.909058/12.385088,75.906142/12.383729,75.910136/12.386608,75.910442/12.389425,75.908322/12.390597,75.905831/12.392407,75.906175/12.392833,75.906456/12.39146,75.903542/12.4244,75.7382", "Open Route")</f>
        <v/>
      </c>
    </row>
    <row r="88">
      <c r="A88" t="n">
        <v>44</v>
      </c>
      <c r="B88" t="inlineStr">
        <is>
          <t>Team 1</t>
        </is>
      </c>
      <c r="C88" t="n">
        <v>20</v>
      </c>
      <c r="D88">
        <f>HYPERLINK("https://www.google.com/maps/dir/12.4244,75.7382/12.390144,75.570277/12.36724,75.553761/12.366599,75.553983/12.359674,75.560191/12.38211,75.555227/12.385392,75.552239/12.383754,75.551133/12.38212,75.5552277/12.377413,75.550165/12.3666,75.554496/12.366176,75.554828/12.368887,75.555653/12.361035,75.559237/12.368125,75.555594/12.370087,75.554988/12.370171,75.551984/12.366642,75.553904/12.367123,75.555806/12.378011,75.558443/12.378364,75.558097/12.4244,75.7382", "Open Route")</f>
        <v/>
      </c>
    </row>
    <row r="89">
      <c r="A89" t="n">
        <v>44</v>
      </c>
      <c r="B89" t="inlineStr">
        <is>
          <t>Team 2</t>
        </is>
      </c>
      <c r="C89" t="n">
        <v>9</v>
      </c>
      <c r="D89">
        <f>HYPERLINK("https://www.google.com/maps/dir/12.4244,75.7382/12.38174,75.80786/12.385384,75.811089/12.397745,75.816268/12.400106,75.805924/12.3949386,75.8105946/12.38796,75.81027/12.38301,75.817335/12.3871681,75.81674/12.38807,75.816806/12.4244,75.7382", "Open Route")</f>
        <v/>
      </c>
    </row>
    <row r="90">
      <c r="A90" t="n">
        <v>45</v>
      </c>
      <c r="B90" t="inlineStr">
        <is>
          <t>Team 1</t>
        </is>
      </c>
      <c r="C90" t="n">
        <v>44</v>
      </c>
      <c r="D90">
        <f>HYPERLINK("https://www.google.com/maps/dir/12.4244,75.7382/12.369156,75.89469/12.3691,75.894346/12.369207,75.894226/12.38110436,75.88173635/12.381396,75.883784/12.378586,75.888158/12.38118871,75.8819953/12.379403,75.892701/12.376968,75.888612/12.379368,75.894878/12.381018,75.894781/12.380507,75.897511/12.376042,75.899694/12.377847,75.899434/12.380524,75.90309/12.378701,75.901239/12.379004,75.901178/12.379794,75.902635/12.379082,75.901367/12.373336,75.900015/12.37309,75.900111/12.372219,75.900112/12.373053,75.901642/12.372674,75.901565/12.372894,75.901562/12.372181,75.899881/12.372736,75.901876/12.374484,75.897383/12.37362,75.894996/12.36984,75.897765/12.369757,75.897045/12.369948,75.899532/12.370849,75.896351/12.370897,75.894713/12.371446,75.896256/12.372806,75.892847/12.373729,75.894079/12.372727,75.892477/12.376578,75.887787/12.366554,75.890441/12.368414,75.893131/12.365754,75.891971/12.36777,75.88972/12.364871,75.894247/12.4244,75.7382", "Open Route")</f>
        <v/>
      </c>
    </row>
    <row r="91">
      <c r="A91" t="n">
        <v>45</v>
      </c>
      <c r="B91" t="inlineStr">
        <is>
          <t>Team 2</t>
        </is>
      </c>
      <c r="C91" t="n">
        <v>44</v>
      </c>
      <c r="D91">
        <f>HYPERLINK("https://www.google.com/maps/dir/12.4244,75.7382/12.385448,75.549517/12.391212,75.540798/12.393342,75.541671/12.387057,75.541887/12.392827,75.538514/12.386557,75.535852/12.385622,75.534157/12.3767056,75.5338892/12.375034,75.532192/12.375469,75.529552/12.38582,75.534467/12.386578,75.536993/12.387889,75.536135/12.386551,75.535788/12.386626,75.53573/12.386625,75.535694/12.386628,75.535703/12.388839,75.537109/12.386595,75.535766/12.386492,75.53562/12.386584,75.535669/12.386552,75.535848/12.386526,75.535698/12.386607,75.535632/12.386576,75.535728/12.385824,75.537376/12.386538,75.535714/12.397625,75.5372/12.39596,75.537831/12.39943,75.534881/12.395305,75.537112/12.399854,75.534803/12.397779,75.534894/12.393938,75.53259/12.394318,75.538465/12.386531,75.535888/12.386647,75.535614/12.385582,75.550176/12.394604,75.541246/12.384804,75.550009/12.385791,75.542232/12.382693,75.543881/12.385439,75.5416976/12.385339,75.547778/12.4244,75.7382", "Open Route")</f>
        <v/>
      </c>
    </row>
    <row r="92">
      <c r="A92" t="n">
        <v>46</v>
      </c>
      <c r="B92" t="inlineStr">
        <is>
          <t>Team 1</t>
        </is>
      </c>
      <c r="C92" t="n">
        <v>8</v>
      </c>
      <c r="D92">
        <f>HYPERLINK("https://www.google.com/maps/dir/12.4244,75.7382/12.3916,75.71372/12.3801249,75.70727082/12.380551,75.711102/12.377063,75.708285/12.378843,75.711177/12.3802082,75.70599133/12.3852207,75.70088711/12.3850976,75.70107873/12.4244,75.7382", "Open Route")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2026-05-24T07:53:22Z</dcterms:created>
  <dcterms:modified xsi:type="dcterms:W3CDTF">2026-05-24T07:53:22Z</dcterms:modified>
</cp:coreProperties>
</file>